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pIvuNJ2UT69oQWdDkpTN0wXMikPPCEdvPK85ebqLsYPqf95YRE5kdrWXljo0yl2vWf7wN1oJH4kbe8Uh2IbPpA==" workbookSaltValue="k3jJSS0Fi7o6rbgHzNPKdw==" workbookSpinCount="100000" lockStructure="1"/>
  <bookViews>
    <workbookView windowWidth="15430" windowHeight="14470"/>
  </bookViews>
  <sheets>
    <sheet name="Sheet1" sheetId="1" r:id="rId1"/>
  </sheets>
  <definedNames>
    <definedName name="_xlnm._FilterDatabase" localSheetId="0" hidden="1">Sheet1!$A$3:$AR$75</definedName>
  </definedNames>
  <calcPr calcId="144525"/>
</workbook>
</file>

<file path=xl/sharedStrings.xml><?xml version="1.0" encoding="utf-8"?>
<sst xmlns="http://schemas.openxmlformats.org/spreadsheetml/2006/main" count="775" uniqueCount="181">
  <si>
    <t>产品类别</t>
  </si>
  <si>
    <t>渠道名称</t>
  </si>
  <si>
    <t>到点取货/到门</t>
  </si>
  <si>
    <t>订单备货时间（天）</t>
  </si>
  <si>
    <t>揽收点至莫斯科分拣中心时效（天）</t>
  </si>
  <si>
    <t>资费</t>
  </si>
  <si>
    <t>电池运输</t>
  </si>
  <si>
    <t>重量区间
限制
(公斤)</t>
  </si>
  <si>
    <t>货值
(卢布)</t>
  </si>
  <si>
    <t>尺寸(厘米)/渠道优势</t>
  </si>
  <si>
    <t>备注</t>
  </si>
  <si>
    <t>测算价格（人民币）</t>
  </si>
  <si>
    <t>RETS            Extra Small   （超级轻小件）</t>
  </si>
  <si>
    <t>Extra Small Express
       特快超级轻小件</t>
  </si>
  <si>
    <t>到点/到门</t>
  </si>
  <si>
    <t>5以下</t>
  </si>
  <si>
    <t>4-9</t>
  </si>
  <si>
    <t>50.5元/千克+3.37元/票</t>
  </si>
  <si>
    <t>不允许</t>
  </si>
  <si>
    <t>0.5KG</t>
  </si>
  <si>
    <t>1500卢布</t>
  </si>
  <si>
    <r>
      <rPr>
        <sz val="10"/>
        <color theme="1"/>
        <rFont val="微软雅黑"/>
        <charset val="134"/>
      </rPr>
      <t xml:space="preserve">三边之和不超90CM，单边不超60CM         </t>
    </r>
    <r>
      <rPr>
        <sz val="10"/>
        <color rgb="FFFF0000"/>
        <rFont val="微软雅黑"/>
        <charset val="134"/>
      </rPr>
      <t>渠道优势：适合重量0.5KG，货值1500卢布以内商品，例如：3C、小饰品等小件商品，丢件最大赔付1500卢布</t>
    </r>
  </si>
  <si>
    <t>超级空运无法发带电带磁，电容电路板，液体膏体粉末等；陆运可以发液体粉末膏体</t>
  </si>
  <si>
    <t>商品重量(KG)</t>
  </si>
  <si>
    <t>Extra small Standard 
    标准超级轻小件</t>
  </si>
  <si>
    <t>10-15</t>
  </si>
  <si>
    <t>39.3元/千克+3.37元/票</t>
  </si>
  <si>
    <t>允许</t>
  </si>
  <si>
    <t>三边尺寸(CM)</t>
  </si>
  <si>
    <t>长</t>
  </si>
  <si>
    <t>Extra small Economy   
  经济超级轻小件</t>
  </si>
  <si>
    <t>15-20</t>
  </si>
  <si>
    <t>28.1元/千克+3.37元/票</t>
  </si>
  <si>
    <t>宽</t>
  </si>
  <si>
    <t>高</t>
  </si>
  <si>
    <t>RETS  Small   （轻小件）</t>
  </si>
  <si>
    <t>Small Express   
（特快轻小件）</t>
  </si>
  <si>
    <t>50.5元/千克+17.97元/票</t>
  </si>
  <si>
    <t>2KG</t>
  </si>
  <si>
    <t>1501-7000卢布</t>
  </si>
  <si>
    <r>
      <rPr>
        <sz val="10"/>
        <color theme="1"/>
        <rFont val="微软雅黑"/>
        <charset val="134"/>
      </rPr>
      <t xml:space="preserve">尺寸限制：三边之和不超150CM,单边最大尺寸不超60CM
</t>
    </r>
    <r>
      <rPr>
        <sz val="10"/>
        <color rgb="FFFF0000"/>
        <rFont val="微软雅黑"/>
        <charset val="134"/>
      </rPr>
      <t>渠道优势：适合重量2KG以内，货值1501-7000卢布以内的商品，丢件最大赔付7000卢布</t>
    </r>
  </si>
  <si>
    <t>商品货值(卢布)</t>
  </si>
  <si>
    <t>Small Standard   
（标准轻小件）</t>
  </si>
  <si>
    <t>39.3元/千克+17.97元/票</t>
  </si>
  <si>
    <t>Small Economy    
（经济轻小件）</t>
  </si>
  <si>
    <t>28.1元/千克+17.97元/票</t>
  </si>
  <si>
    <t>RETS Budget          （低客单轻小件）</t>
  </si>
  <si>
    <t>Budget Standard          
 标准低客单轻小件</t>
  </si>
  <si>
    <t>28.1元/千克+25.83元/票</t>
  </si>
  <si>
    <t>0.5KG-30KG</t>
  </si>
  <si>
    <r>
      <rPr>
        <sz val="10"/>
        <color theme="1"/>
        <rFont val="微软雅黑"/>
        <charset val="134"/>
      </rPr>
      <t>尺寸限制：三边之和不超150CM,单边最大尺寸不超60CM</t>
    </r>
    <r>
      <rPr>
        <sz val="10"/>
        <color rgb="FFFF0000"/>
        <rFont val="微软雅黑"/>
        <charset val="134"/>
      </rPr>
      <t xml:space="preserve">
渠道优势：适合重量0.5-30KG,货值1500卢布以内的大件商品，
丢件最大赔付1500卢布</t>
    </r>
  </si>
  <si>
    <t>Budget Economy        
  经济低客单轻小件</t>
  </si>
  <si>
    <t>19.1元/千克+25.83元/票</t>
  </si>
  <si>
    <t>RETS           Premium Small          （高客单轻小件）</t>
  </si>
  <si>
    <t>Premium Small  Express
（特快高客单轻小件）</t>
  </si>
  <si>
    <t>50.5元/千克+24.71元/票</t>
  </si>
  <si>
    <t>5KG</t>
  </si>
  <si>
    <t>7001-250000
卢布</t>
  </si>
  <si>
    <r>
      <rPr>
        <sz val="10"/>
        <color theme="1"/>
        <rFont val="微软雅黑"/>
        <charset val="134"/>
      </rPr>
      <t>三边之和不超250CM,单边最大尺寸不超150CM</t>
    </r>
    <r>
      <rPr>
        <sz val="10"/>
        <color rgb="FFFF0000"/>
        <rFont val="微软雅黑"/>
        <charset val="134"/>
      </rPr>
      <t xml:space="preserve">
渠道优势：适合重量1G-5KG以内，货值7001-250000卢布以内的商品，
丢件最大赔付250000卢布</t>
    </r>
  </si>
  <si>
    <t>Premium Small Standard
（标准高客单轻小件）</t>
  </si>
  <si>
    <t>39.3元/千克+24.71元/票</t>
  </si>
  <si>
    <t>Premium Small Economy（经济高客单轻小件）</t>
  </si>
  <si>
    <t>28.1元/千克+24.71元/票</t>
  </si>
  <si>
    <t>RETS Big（大件）</t>
  </si>
  <si>
    <t>Big Standard
（标准大件）</t>
  </si>
  <si>
    <t>28.1元/千克+40.44/票</t>
  </si>
  <si>
    <t>2KG-30KG</t>
  </si>
  <si>
    <t>1501-7000
卢布</t>
  </si>
  <si>
    <r>
      <rPr>
        <sz val="10"/>
        <color theme="1"/>
        <rFont val="微软雅黑"/>
        <charset val="134"/>
      </rPr>
      <t xml:space="preserve">三边之和不超250CM,单边最大尺寸不超150CM
</t>
    </r>
    <r>
      <rPr>
        <sz val="10"/>
        <color rgb="FFFF0000"/>
        <rFont val="微软雅黑"/>
        <charset val="134"/>
      </rPr>
      <t>渠道优势：适合重量2KG-30KG以内，货值1501-7000卢布以内的商品，丢件最大赔付7700卢布</t>
    </r>
  </si>
  <si>
    <t>RETS           Premium Big          （高客单大件）</t>
  </si>
  <si>
    <t>Premium Big Economy 
（经济高客单大件）</t>
  </si>
  <si>
    <t>25.8元/千克+69.64元/票</t>
  </si>
  <si>
    <t>5KG-30KG</t>
  </si>
  <si>
    <r>
      <rPr>
        <sz val="10"/>
        <color theme="1"/>
        <rFont val="微软雅黑"/>
        <charset val="134"/>
      </rPr>
      <t xml:space="preserve">尺寸限制：三边之和不超310CM,单边最大尺寸不超150CM
</t>
    </r>
    <r>
      <rPr>
        <sz val="10"/>
        <color rgb="FFFF0000"/>
        <rFont val="微软雅黑"/>
        <charset val="134"/>
      </rPr>
      <t>渠道优势：适合重量5KG-30KG,货值7001-250000卢布以内的商品，
丢件最大赔付250000卢布</t>
    </r>
  </si>
  <si>
    <t>揽收点至阿拉木图分拣中心时效（天）</t>
  </si>
  <si>
    <t>RETS Belarus Standard Extra Small
超级轻小件</t>
  </si>
  <si>
    <t>Belarus Standard Extra Small
（超级轻小件）</t>
  </si>
  <si>
    <t>到点</t>
  </si>
  <si>
    <t>36.4元/千克+3.12元/票</t>
  </si>
  <si>
    <t>1-1500卢布</t>
  </si>
  <si>
    <r>
      <rPr>
        <sz val="10"/>
        <color theme="1"/>
        <rFont val="微软雅黑"/>
        <charset val="134"/>
      </rPr>
      <t xml:space="preserve">尺寸限制：三边之和不超90CM，单边不超60CM       
</t>
    </r>
    <r>
      <rPr>
        <sz val="10"/>
        <color rgb="FFFF0000"/>
        <rFont val="微软雅黑"/>
        <charset val="134"/>
      </rPr>
      <t>渠道优势：适合重量1-500克，货值1500卢布以内商品，例如：3C、小饰品等小件商品，丢件最大赔付1500卢布</t>
    </r>
  </si>
  <si>
    <t>RETS Belarus Economy Extra Small</t>
  </si>
  <si>
    <t>Belarus Economy Extra Small</t>
  </si>
  <si>
    <t>25-30</t>
  </si>
  <si>
    <t>26元/千克+3.12元/票</t>
  </si>
  <si>
    <t>RETS Kazakhstan Standard Extra Small
超级轻小件</t>
  </si>
  <si>
    <t>Kazakhstan Standard Extra Small
（超级轻小件）</t>
  </si>
  <si>
    <r>
      <rPr>
        <sz val="10"/>
        <color theme="1"/>
        <rFont val="微软雅黑"/>
        <charset val="134"/>
      </rPr>
      <t xml:space="preserve">尺寸限制：三边之和不超90CM，单边不超60CM       
</t>
    </r>
    <r>
      <rPr>
        <sz val="10"/>
        <color rgb="FFFF0000"/>
        <rFont val="微软雅黑"/>
        <charset val="134"/>
      </rPr>
      <t>渠道优势：适合重量1-1500克，货值1500卢布以内商品，例如：3C、小饰品等小件商品，丢件最大赔付1500卢布</t>
    </r>
  </si>
  <si>
    <t>RETS Kazakhstan Economy Extra Small</t>
  </si>
  <si>
    <t>Kazakhstan Economy Extra Small</t>
  </si>
  <si>
    <t>20-25</t>
  </si>
  <si>
    <t>揽收点至明斯克分拣中心时效（天）</t>
  </si>
  <si>
    <t>RETS Belarus Standard Budget
低客单小件</t>
  </si>
  <si>
    <t>Belarus Standard Budget
（低客单小件）</t>
  </si>
  <si>
    <t>26元/千克+23.92元/票</t>
  </si>
  <si>
    <t>0.5KG-35KG</t>
  </si>
  <si>
    <r>
      <rPr>
        <sz val="10"/>
        <color theme="1"/>
        <rFont val="微软雅黑"/>
        <charset val="134"/>
      </rPr>
      <t xml:space="preserve">尺寸限制：三边之和不超150CM,单边最大尺寸不超60CM
</t>
    </r>
    <r>
      <rPr>
        <sz val="10"/>
        <color rgb="FFFF0000"/>
        <rFont val="微软雅黑"/>
        <charset val="134"/>
      </rPr>
      <t>渠道优势：适合重量501-35000克,货值1500卢布以内的大件商品，
丢件最大赔付1500卢布</t>
    </r>
  </si>
  <si>
    <t>RETS Belarus Economy Budget
低客单小件</t>
  </si>
  <si>
    <t xml:space="preserve"> Belarus Economy Budget</t>
  </si>
  <si>
    <t>17.68元/千克+23.92元/票</t>
  </si>
  <si>
    <t>RETS Kazakhstan Standard Budget
低客单小件</t>
  </si>
  <si>
    <t>Kazakhstan Standard Budget
（低客单小件）</t>
  </si>
  <si>
    <t>RETS Kazakhstan Economy Budget</t>
  </si>
  <si>
    <t xml:space="preserve"> Kazakhstan Economy Budget</t>
  </si>
  <si>
    <t>RETS Belarus Standard Small
轻小件</t>
  </si>
  <si>
    <t>Belarus Standard Small
（轻小件）</t>
  </si>
  <si>
    <t>36.4元/千克+16.64元/票</t>
  </si>
  <si>
    <r>
      <rPr>
        <sz val="10"/>
        <color theme="1"/>
        <rFont val="微软雅黑"/>
        <charset val="134"/>
      </rPr>
      <t xml:space="preserve">尺寸限制：三边之和不超150CM,单边最大尺寸不超60CM
</t>
    </r>
    <r>
      <rPr>
        <sz val="10"/>
        <color rgb="FFFF0000"/>
        <rFont val="微软雅黑"/>
        <charset val="134"/>
      </rPr>
      <t>渠道优势：适合重量1-2000克,货值1501-7000卢布以内的大件商品，丢件最大赔付7000卢布</t>
    </r>
  </si>
  <si>
    <t>RETS Belarus Economy Small</t>
  </si>
  <si>
    <t>Belarus Economy Small</t>
  </si>
  <si>
    <t>26元/千克+16.64元/票</t>
  </si>
  <si>
    <t>RETS Kazakhstan Standard Small
轻小件</t>
  </si>
  <si>
    <t>Kazakhstan Standard Small
（轻小件）</t>
  </si>
  <si>
    <t>RETS Kazakhstan Economy Small</t>
  </si>
  <si>
    <t>Kazakhstan Economy Small</t>
  </si>
  <si>
    <t>RETS Belarus Standard Big
大件</t>
  </si>
  <si>
    <t>Belarus Standard Big
（大件）</t>
  </si>
  <si>
    <t>26元/千克+37.44元/票</t>
  </si>
  <si>
    <t>2KG-35KG</t>
  </si>
  <si>
    <r>
      <rPr>
        <sz val="10"/>
        <color theme="1"/>
        <rFont val="微软雅黑"/>
        <charset val="134"/>
      </rPr>
      <t xml:space="preserve">尺寸限制：三边之和不超250CM,单边最大尺寸不超150CM
</t>
    </r>
    <r>
      <rPr>
        <sz val="10"/>
        <color rgb="FFFF0000"/>
        <rFont val="微软雅黑"/>
        <charset val="134"/>
      </rPr>
      <t>渠道优势：适合重量2001-35000克以内，货值1501-7000卢布以内的商品，丢件最大赔付7000卢布</t>
    </r>
  </si>
  <si>
    <t>RETS Belarus Economy Big</t>
  </si>
  <si>
    <t>Belarus Economy Big</t>
  </si>
  <si>
    <t>17.68元/千克+37.44元/票</t>
  </si>
  <si>
    <t>RETS Kazakhstan Standard Big
大件</t>
  </si>
  <si>
    <t>Kazakhstan Standard Big
（大件）</t>
  </si>
  <si>
    <t>RETS Kazakhstan Economy Big</t>
  </si>
  <si>
    <t>Kazakhstan Economy Big</t>
  </si>
  <si>
    <t>RETS Belarus Standard Premium Small
高客单小件</t>
  </si>
  <si>
    <t>Belarus Standard Premium Small
（高客单小件）</t>
  </si>
  <si>
    <t>36.4元/千克+22.88元/票</t>
  </si>
  <si>
    <t>7001-500000卢布</t>
  </si>
  <si>
    <r>
      <rPr>
        <sz val="10"/>
        <color theme="1"/>
        <rFont val="微软雅黑"/>
        <charset val="134"/>
      </rPr>
      <t xml:space="preserve">尺寸限制：三边之和不超250CM,单边最大尺寸不超150CM
</t>
    </r>
    <r>
      <rPr>
        <sz val="10"/>
        <color rgb="FFFF0000"/>
        <rFont val="微软雅黑"/>
        <charset val="134"/>
      </rPr>
      <t>渠道优势：适合重量1-5000克以内，货值7001-500000卢布以内的商品，丢件最大赔付500000卢布</t>
    </r>
  </si>
  <si>
    <t>RETS Belarus Economy Premium Small高客单小件</t>
  </si>
  <si>
    <t>Belarus Economy Premium Small</t>
  </si>
  <si>
    <t>26元/千克+22.88元/票</t>
  </si>
  <si>
    <t>RETS Kazakhstan Standard Premium Small
高客单小件</t>
  </si>
  <si>
    <t>Kazakhstan Standard Premium Small
（高客单小件）</t>
  </si>
  <si>
    <t>RETS Kazakhstan Economy Premium Small</t>
  </si>
  <si>
    <t>Kazakhstan Economy Premium Small</t>
  </si>
  <si>
    <t>RETS Belarus Standard Premium Big
高客单大件</t>
  </si>
  <si>
    <t>Belarus Standard Premium Big
（高客单大件）</t>
  </si>
  <si>
    <t>29.12元/千克+64.48元/票</t>
  </si>
  <si>
    <t>5KG-35KG</t>
  </si>
  <si>
    <r>
      <rPr>
        <sz val="10"/>
        <color theme="1"/>
        <rFont val="微软雅黑"/>
        <charset val="134"/>
      </rPr>
      <t xml:space="preserve">尺寸限制：三边之和不超310CM,单边最大尺寸不超150CM
</t>
    </r>
    <r>
      <rPr>
        <sz val="10"/>
        <color rgb="FFFF0000"/>
        <rFont val="微软雅黑"/>
        <charset val="134"/>
      </rPr>
      <t>渠道优势：适合重量5001-35000克以内，货值500000卢布以内的商品，丢件最大赔付500000卢布</t>
    </r>
  </si>
  <si>
    <t>RETS Belarus Economy Premium Big</t>
  </si>
  <si>
    <t>Belarus Economy Premium Big</t>
  </si>
  <si>
    <t>23.92元/千克+64.48元/票</t>
  </si>
  <si>
    <t>RETS Kazakhstan Standard Premium Big
高客单大件</t>
  </si>
  <si>
    <t>Kazakhstan Standard Premium Big
（高客单大件）</t>
  </si>
  <si>
    <t>RETS Kazakhstan Economy Premium Big</t>
  </si>
  <si>
    <t>揽收点至比什凯克分拣中心时效（天）</t>
  </si>
  <si>
    <t>RETS Kyrgysztan Economy Extra Small</t>
  </si>
  <si>
    <t>30-35</t>
  </si>
  <si>
    <r>
      <rPr>
        <sz val="10"/>
        <color theme="1"/>
        <rFont val="微软雅黑"/>
        <charset val="134"/>
      </rPr>
      <t xml:space="preserve">三边之和不超90CM，单边不超60CM      </t>
    </r>
    <r>
      <rPr>
        <sz val="10"/>
        <color rgb="FFFF0000"/>
        <rFont val="微软雅黑"/>
        <charset val="134"/>
      </rPr>
      <t xml:space="preserve">   渠道优势：适合重量0.5KG，货值1500卢布以内商品，例如：3C、小饰品等小件商品，丢件最大赔付1500卢布</t>
    </r>
  </si>
  <si>
    <t>RETS Kyrgysztan Economy Budget</t>
  </si>
  <si>
    <r>
      <rPr>
        <sz val="10"/>
        <color theme="1"/>
        <rFont val="微软雅黑"/>
        <charset val="134"/>
      </rPr>
      <t xml:space="preserve">三边之和不超150CM，单边不超60CM      </t>
    </r>
    <r>
      <rPr>
        <sz val="10"/>
        <color rgb="FFFF0000"/>
        <rFont val="微软雅黑"/>
        <charset val="134"/>
      </rPr>
      <t xml:space="preserve">  渠道优势：适合重量0.5-30KG,货值1500卢布以内的大件商品，丢件最大赔付1500卢布</t>
    </r>
  </si>
  <si>
    <t>RETS Kyrgysztan Economy Small</t>
  </si>
  <si>
    <r>
      <rPr>
        <sz val="10"/>
        <color theme="1"/>
        <rFont val="微软雅黑"/>
        <charset val="134"/>
      </rPr>
      <t xml:space="preserve">三边之和不超150CM，单边不超60CM      </t>
    </r>
    <r>
      <rPr>
        <sz val="10"/>
        <color rgb="FFFF0000"/>
        <rFont val="微软雅黑"/>
        <charset val="134"/>
      </rPr>
      <t xml:space="preserve">  渠道优势：适合重量2KG以内，货值1501-7000卢布以内的商品，丢件最大赔付7000卢布</t>
    </r>
  </si>
  <si>
    <t>RETS Kyrgysztan Economy Big</t>
  </si>
  <si>
    <r>
      <rPr>
        <sz val="10"/>
        <color theme="1"/>
        <rFont val="微软雅黑"/>
        <charset val="134"/>
      </rPr>
      <t xml:space="preserve">三边之和不超310CM，单边不超150CM      </t>
    </r>
    <r>
      <rPr>
        <sz val="10"/>
        <color rgb="FFFF0000"/>
        <rFont val="微软雅黑"/>
        <charset val="134"/>
      </rPr>
      <t xml:space="preserve">   渠道优势：适合重量2KG-30KG以内，货值1501-7000卢布以内的商品，丢件最大赔付7000卢布</t>
    </r>
  </si>
  <si>
    <t>RETS Kyrgysztan Economy Premium Small</t>
  </si>
  <si>
    <t>7001-18000卢布</t>
  </si>
  <si>
    <r>
      <rPr>
        <sz val="10"/>
        <color theme="1"/>
        <rFont val="微软雅黑"/>
        <charset val="134"/>
      </rPr>
      <t xml:space="preserve">三边之和不超250CM，单边不超150CM      </t>
    </r>
    <r>
      <rPr>
        <sz val="10"/>
        <color rgb="FFFF0000"/>
        <rFont val="微软雅黑"/>
        <charset val="134"/>
      </rPr>
      <t xml:space="preserve">   渠道优势：适合重量5KG以内，货值7001-18000卢布以内的商品，丢件最大赔付18000卢布</t>
    </r>
  </si>
  <si>
    <t>RETS Kyrgysztan Economy Premium Big</t>
  </si>
  <si>
    <t>23.92元/千克+62.48元/票</t>
  </si>
  <si>
    <r>
      <rPr>
        <sz val="10"/>
        <color theme="1"/>
        <rFont val="微软雅黑"/>
        <charset val="134"/>
      </rPr>
      <t xml:space="preserve">三边之和不超310CM，单边不超150CM      </t>
    </r>
    <r>
      <rPr>
        <sz val="10"/>
        <color rgb="FFFF0000"/>
        <rFont val="微软雅黑"/>
        <charset val="134"/>
      </rPr>
      <t xml:space="preserve">   渠道优势：适合重量2KG-30KG以内，货值7001-18000卢布以内的商品，丢件最大赔付18000卢布</t>
    </r>
  </si>
  <si>
    <t>邮政产品</t>
  </si>
  <si>
    <t>俄通收  e邮宝</t>
  </si>
  <si>
    <t>到取货点</t>
  </si>
  <si>
    <t>20-35天</t>
  </si>
  <si>
    <t>34.75元/千克+15元/票</t>
  </si>
  <si>
    <t>10000卢布</t>
  </si>
  <si>
    <r>
      <rPr>
        <sz val="10"/>
        <color theme="1"/>
        <rFont val="微软雅黑"/>
        <charset val="134"/>
      </rPr>
      <t xml:space="preserve">方形包裹：三边之和不超90CM，单边不超60CM；圆柱形包裹：2倍直径及长度之和不超104cm，单边不超90cm     
</t>
    </r>
    <r>
      <rPr>
        <sz val="10"/>
        <color rgb="FFFF0000"/>
        <rFont val="微软雅黑"/>
        <charset val="134"/>
      </rPr>
      <t>渠道优势：运费便宜，可以发少量液体，线上线下都可发货</t>
    </r>
  </si>
  <si>
    <t>不含揽收</t>
  </si>
  <si>
    <t>俄通收  e包裹</t>
  </si>
  <si>
    <t>首重52.5元/500克+续重15元/500克</t>
  </si>
  <si>
    <t>20KG</t>
  </si>
  <si>
    <r>
      <rPr>
        <sz val="10"/>
        <color theme="1"/>
        <rFont val="微软雅黑"/>
        <charset val="134"/>
      </rPr>
      <t xml:space="preserve">单边不得超过1.05m，最长边以外的两边长度之和*2不得超过2m                  </t>
    </r>
    <r>
      <rPr>
        <sz val="10"/>
        <color rgb="FFFF0000"/>
        <rFont val="微软雅黑"/>
        <charset val="134"/>
      </rPr>
      <t>渠道优势：运费便宜，可以发少量液体，线上线下都可发货</t>
    </r>
  </si>
  <si>
    <t>俄通收  WH</t>
  </si>
  <si>
    <t>26元/公斤+1.9元/票</t>
  </si>
  <si>
    <r>
      <rPr>
        <sz val="10"/>
        <color theme="1"/>
        <rFont val="微软雅黑"/>
        <charset val="134"/>
      </rPr>
      <t xml:space="preserve">单边不得超过60cm，三边之和不超90cm
 </t>
    </r>
    <r>
      <rPr>
        <sz val="10"/>
        <color rgb="FFFF0000"/>
        <rFont val="微软雅黑"/>
        <charset val="134"/>
      </rPr>
      <t>注意：带电货物，液体，危险品无法发货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</si>
</sst>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Arial"/>
      <charset val="134"/>
    </font>
    <font>
      <sz val="14"/>
      <color theme="1"/>
      <name val="黑体"/>
      <charset val="134"/>
    </font>
    <font>
      <b/>
      <sz val="16"/>
      <color theme="1"/>
      <name val="黑体"/>
      <charset val="134"/>
    </font>
    <font>
      <sz val="12"/>
      <color theme="1"/>
      <name val="黑体"/>
      <charset val="134"/>
    </font>
    <font>
      <sz val="9"/>
      <color theme="1"/>
      <name val="微软雅黑"/>
      <charset val="134"/>
    </font>
    <font>
      <i/>
      <sz val="18"/>
      <color theme="1"/>
      <name val="Times New Roman"/>
      <charset val="134"/>
    </font>
    <font>
      <b/>
      <sz val="10"/>
      <color theme="0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Calibri"/>
      <charset val="134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1D20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0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3" fillId="31" borderId="20" applyNumberFormat="0" applyAlignment="0" applyProtection="0">
      <alignment vertical="center"/>
    </xf>
    <xf numFmtId="0" fontId="35" fillId="31" borderId="15" applyNumberFormat="0" applyAlignment="0" applyProtection="0">
      <alignment vertical="center"/>
    </xf>
    <xf numFmtId="0" fontId="32" fillId="30" borderId="19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/>
    <xf numFmtId="0" fontId="19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4" fillId="0" borderId="0"/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hidden="1"/>
    </xf>
    <xf numFmtId="0" fontId="0" fillId="0" borderId="3" xfId="0" applyBorder="1">
      <alignment vertical="center"/>
    </xf>
    <xf numFmtId="0" fontId="3" fillId="3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42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0" fillId="0" borderId="4" xfId="0" applyBorder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 applyProtection="1">
      <alignment horizontal="center" vertical="center"/>
      <protection hidden="1"/>
    </xf>
    <xf numFmtId="0" fontId="0" fillId="0" borderId="5" xfId="0" applyBorder="1">
      <alignment vertical="center"/>
    </xf>
    <xf numFmtId="0" fontId="11" fillId="4" borderId="6" xfId="0" applyFont="1" applyFill="1" applyBorder="1" applyAlignment="1" applyProtection="1">
      <alignment horizontal="left" vertical="center"/>
      <protection locked="0"/>
    </xf>
    <xf numFmtId="0" fontId="11" fillId="4" borderId="7" xfId="0" applyFont="1" applyFill="1" applyBorder="1" applyAlignment="1" applyProtection="1">
      <alignment horizontal="left" vertical="center"/>
      <protection locked="0"/>
    </xf>
    <xf numFmtId="0" fontId="0" fillId="0" borderId="8" xfId="0" applyBorder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4" borderId="9" xfId="0" applyFont="1" applyFill="1" applyBorder="1" applyAlignment="1" applyProtection="1">
      <alignment horizontal="left" vertical="center"/>
      <protection locked="0"/>
    </xf>
    <xf numFmtId="0" fontId="14" fillId="4" borderId="10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Protection="1">
      <alignment vertical="center"/>
      <protection locked="0"/>
    </xf>
    <xf numFmtId="0" fontId="14" fillId="4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left"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6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0" fillId="0" borderId="5" xfId="0" applyBorder="1" applyProtection="1">
      <alignment vertical="center"/>
      <protection locked="0"/>
    </xf>
    <xf numFmtId="0" fontId="0" fillId="5" borderId="0" xfId="0" applyFill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Обычный 3" xfId="50"/>
  </cellStyles>
  <tableStyles count="0" defaultTableStyle="TableStyleMedium2" defaultPivotStyle="PivotStyleLight16"/>
  <colors>
    <mruColors>
      <color rgb="001D20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59055</xdr:colOff>
      <xdr:row>0</xdr:row>
      <xdr:rowOff>20955</xdr:rowOff>
    </xdr:from>
    <xdr:to>
      <xdr:col>13</xdr:col>
      <xdr:colOff>0</xdr:colOff>
      <xdr:row>1</xdr:row>
      <xdr:rowOff>642620</xdr:rowOff>
    </xdr:to>
    <xdr:pic>
      <xdr:nvPicPr>
        <xdr:cNvPr id="3" name="ID_FCC1FC279BF2426D8F992C37808D0DBD" descr="表头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" y="20955"/>
          <a:ext cx="12889865" cy="876935"/>
        </a:xfrm>
        <a:prstGeom prst="rect">
          <a:avLst/>
        </a:prstGeom>
      </xdr:spPr>
    </xdr:pic>
    <xdr:clientData/>
  </xdr:twoCellAnchor>
  <xdr:oneCellAnchor>
    <xdr:from>
      <xdr:col>4</xdr:col>
      <xdr:colOff>279400</xdr:colOff>
      <xdr:row>0</xdr:row>
      <xdr:rowOff>116205</xdr:rowOff>
    </xdr:from>
    <xdr:ext cx="10028555" cy="501650"/>
    <xdr:sp>
      <xdr:nvSpPr>
        <xdr:cNvPr id="4" name="文本框 3"/>
        <xdr:cNvSpPr txBox="1"/>
      </xdr:nvSpPr>
      <xdr:spPr>
        <a:xfrm>
          <a:off x="3605530" y="116205"/>
          <a:ext cx="10028555" cy="5016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俄通收</a:t>
          </a:r>
          <a:r>
            <a:rPr lang="en-US" altLang="zh-CN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-OZON</a:t>
          </a:r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线上物流运费表</a:t>
          </a:r>
          <a:r>
            <a:rPr lang="en-US" altLang="zh-CN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2026</a:t>
          </a:r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年</a:t>
          </a:r>
          <a:r>
            <a:rPr lang="en-US" altLang="zh-CN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</a:t>
          </a:r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月</a:t>
          </a:r>
          <a:r>
            <a:rPr lang="en-US" altLang="zh-CN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24</a:t>
          </a:r>
          <a:r>
            <a:rPr lang="zh-CN" altLang="en-US" sz="2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日</a:t>
          </a:r>
          <a:endParaRPr lang="en-US" altLang="zh-CN" sz="2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twoCellAnchor>
    <xdr:from>
      <xdr:col>10</xdr:col>
      <xdr:colOff>2139315</xdr:colOff>
      <xdr:row>75</xdr:row>
      <xdr:rowOff>162560</xdr:rowOff>
    </xdr:from>
    <xdr:to>
      <xdr:col>10</xdr:col>
      <xdr:colOff>2961640</xdr:colOff>
      <xdr:row>77</xdr:row>
      <xdr:rowOff>246380</xdr:rowOff>
    </xdr:to>
    <xdr:pic>
      <xdr:nvPicPr>
        <xdr:cNvPr id="5" name="图片 4" descr="G:/Carmen/Carmen2/俄通收/哈尔滨俄通收资料/俄通收国际-大.jpg俄通收国际-大"/>
        <xdr:cNvPicPr/>
      </xdr:nvPicPr>
      <xdr:blipFill>
        <a:blip r:embed="rId2"/>
        <a:srcRect t="2567" b="2567"/>
        <a:stretch>
          <a:fillRect/>
        </a:stretch>
      </xdr:blipFill>
      <xdr:spPr>
        <a:xfrm>
          <a:off x="10451465" y="62365255"/>
          <a:ext cx="0" cy="694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4</xdr:col>
      <xdr:colOff>525780</xdr:colOff>
      <xdr:row>76</xdr:row>
      <xdr:rowOff>12065</xdr:rowOff>
    </xdr:from>
    <xdr:ext cx="6628130" cy="532130"/>
    <xdr:sp>
      <xdr:nvSpPr>
        <xdr:cNvPr id="6" name="文本框 5"/>
        <xdr:cNvSpPr txBox="1"/>
      </xdr:nvSpPr>
      <xdr:spPr>
        <a:xfrm>
          <a:off x="3823970" y="62531625"/>
          <a:ext cx="6628130" cy="5321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zh-CN" altLang="en-US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俄通收</a:t>
          </a:r>
          <a:r>
            <a:rPr lang="en-US" altLang="zh-CN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R</a:t>
          </a:r>
          <a:r>
            <a:rPr lang="zh-CN" altLang="en-US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ETS是一家专注于为中俄跨境电商提供一站式物流解决方案的服务商</a:t>
          </a:r>
          <a:endParaRPr lang="zh-CN" altLang="en-US" sz="10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r"/>
          <a:r>
            <a:rPr lang="zh-CN" altLang="en-US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www.ets-express.com</a:t>
          </a:r>
          <a:r>
            <a:rPr lang="en-US" altLang="zh-CN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    </a:t>
          </a:r>
          <a:r>
            <a:rPr lang="zh-CN" altLang="en-US" sz="10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400-87906597</a:t>
          </a:r>
          <a:endParaRPr lang="zh-CN" altLang="en-US" sz="9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r"/>
          <a:endParaRPr lang="zh-CN" altLang="en-US" sz="900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twoCellAnchor>
    <xdr:from>
      <xdr:col>11</xdr:col>
      <xdr:colOff>0</xdr:colOff>
      <xdr:row>75</xdr:row>
      <xdr:rowOff>85725</xdr:rowOff>
    </xdr:from>
    <xdr:to>
      <xdr:col>11</xdr:col>
      <xdr:colOff>743585</xdr:colOff>
      <xdr:row>77</xdr:row>
      <xdr:rowOff>150495</xdr:rowOff>
    </xdr:to>
    <xdr:pic>
      <xdr:nvPicPr>
        <xdr:cNvPr id="2" name="图片 1" descr="G:/Carmen/Carmen2/俄通收/哈尔滨俄通收资料/俄通收国际-大.jpg俄通收国际-大"/>
        <xdr:cNvPicPr/>
      </xdr:nvPicPr>
      <xdr:blipFill>
        <a:blip r:embed="rId2"/>
        <a:srcRect t="2567" b="2567"/>
        <a:stretch>
          <a:fillRect/>
        </a:stretch>
      </xdr:blipFill>
      <xdr:spPr>
        <a:xfrm>
          <a:off x="10451465" y="62288420"/>
          <a:ext cx="743585" cy="67500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82"/>
  <sheetViews>
    <sheetView tabSelected="1" zoomScale="82" zoomScaleNormal="82" workbookViewId="0">
      <pane xSplit="2" ySplit="3" topLeftCell="K4" activePane="bottomRight" state="frozen"/>
      <selection/>
      <selection pane="topRight"/>
      <selection pane="bottomLeft"/>
      <selection pane="bottomRight" activeCell="P5" sqref="P5:P7"/>
    </sheetView>
  </sheetViews>
  <sheetFormatPr defaultColWidth="9" defaultRowHeight="14"/>
  <cols>
    <col min="1" max="1" width="0.872727272727273" style="3" customWidth="1"/>
    <col min="2" max="2" width="14.3727272727273" style="4" customWidth="1"/>
    <col min="3" max="3" width="19" style="4" customWidth="1"/>
    <col min="4" max="4" width="13.3727272727273" style="4" customWidth="1"/>
    <col min="5" max="5" width="7.12727272727273" style="4" customWidth="1"/>
    <col min="6" max="6" width="13.3727272727273" style="4" customWidth="1"/>
    <col min="7" max="7" width="21.2545454545455" style="4" customWidth="1"/>
    <col min="8" max="8" width="9" style="4" customWidth="1"/>
    <col min="9" max="9" width="11.5" style="4" customWidth="1"/>
    <col min="10" max="10" width="13.7545454545455" style="4" customWidth="1"/>
    <col min="11" max="11" width="26" style="4" customWidth="1"/>
    <col min="12" max="12" width="16.5" style="4" customWidth="1"/>
    <col min="13" max="13" width="19.2545454545455" style="4" customWidth="1"/>
    <col min="14" max="14" width="9" style="1"/>
    <col min="15" max="15" width="9" style="2" customWidth="1"/>
    <col min="16" max="16" width="18.3727272727273" style="2" customWidth="1"/>
    <col min="17" max="17" width="4.62727272727273" style="2" customWidth="1"/>
    <col min="18" max="18" width="18.7545454545455" style="2" customWidth="1"/>
    <col min="19" max="19" width="9" style="2" hidden="1" customWidth="1"/>
    <col min="20" max="44" width="9" style="2"/>
  </cols>
  <sheetData>
    <row r="1" ht="20.1" customHeight="1" spans="2:1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/>
    </row>
    <row r="2" ht="51" customHeight="1" spans="2:13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/>
    </row>
    <row r="3" ht="54.95" customHeight="1" spans="2:18">
      <c r="B3" s="6" t="s">
        <v>0</v>
      </c>
      <c r="C3" s="6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8" t="s">
        <v>6</v>
      </c>
      <c r="I3" s="7" t="s">
        <v>7</v>
      </c>
      <c r="J3" s="7" t="s">
        <v>8</v>
      </c>
      <c r="K3" s="6" t="s">
        <v>9</v>
      </c>
      <c r="L3" s="20" t="s">
        <v>10</v>
      </c>
      <c r="M3" s="21" t="s">
        <v>11</v>
      </c>
      <c r="P3" s="22"/>
      <c r="Q3" s="22"/>
      <c r="R3" s="22"/>
    </row>
    <row r="4" ht="29" spans="1:19">
      <c r="A4"/>
      <c r="B4" s="9" t="s">
        <v>12</v>
      </c>
      <c r="C4" s="10" t="s">
        <v>13</v>
      </c>
      <c r="D4" s="10" t="s">
        <v>14</v>
      </c>
      <c r="E4" s="10" t="s">
        <v>15</v>
      </c>
      <c r="F4" s="11" t="s">
        <v>16</v>
      </c>
      <c r="G4" s="12" t="s">
        <v>17</v>
      </c>
      <c r="H4" s="13" t="s">
        <v>18</v>
      </c>
      <c r="I4" s="23" t="s">
        <v>19</v>
      </c>
      <c r="J4" s="10" t="s">
        <v>20</v>
      </c>
      <c r="K4" s="10" t="s">
        <v>21</v>
      </c>
      <c r="L4" s="10" t="s">
        <v>22</v>
      </c>
      <c r="M4" s="24">
        <f>IF(AND(R5&lt;=60,R6&lt;=60,R7&lt;=60,R4&lt;=0.5,(R5+R6+R7)&lt;=90),3.37+50.5*R4,"不符合运输标准")</f>
        <v>14.985</v>
      </c>
      <c r="O4" s="25"/>
      <c r="P4" s="26" t="s">
        <v>23</v>
      </c>
      <c r="Q4" s="32"/>
      <c r="R4" s="33">
        <v>0.23</v>
      </c>
      <c r="S4" s="1">
        <f>IF(MOD(R4/0.5,1)=0,R4,INT(R4/0.5)*0.5+0.5)</f>
        <v>0.5</v>
      </c>
    </row>
    <row r="5" ht="36.95" customHeight="1" spans="1:19">
      <c r="A5" s="14"/>
      <c r="B5" s="9"/>
      <c r="C5" s="10" t="s">
        <v>24</v>
      </c>
      <c r="D5" s="10" t="s">
        <v>14</v>
      </c>
      <c r="E5" s="10" t="s">
        <v>15</v>
      </c>
      <c r="F5" s="11" t="s">
        <v>25</v>
      </c>
      <c r="G5" s="12" t="s">
        <v>26</v>
      </c>
      <c r="H5" s="13" t="s">
        <v>27</v>
      </c>
      <c r="I5" s="23"/>
      <c r="J5" s="10"/>
      <c r="K5" s="10"/>
      <c r="L5" s="10"/>
      <c r="M5" s="24">
        <f>IF(AND(R5&lt;=60,R6&lt;=60,R7&lt;=60,R4&lt;=0.5,(R5+R6+R7)&lt;=90),3.37+39.3*R4,"不符合运输标准")</f>
        <v>12.409</v>
      </c>
      <c r="O5" s="25"/>
      <c r="P5" s="27" t="s">
        <v>28</v>
      </c>
      <c r="Q5" s="34" t="s">
        <v>29</v>
      </c>
      <c r="R5" s="35">
        <v>10</v>
      </c>
      <c r="S5" s="1"/>
    </row>
    <row r="6" ht="36" customHeight="1" spans="1:19">
      <c r="A6" s="14"/>
      <c r="B6" s="9"/>
      <c r="C6" s="10" t="s">
        <v>30</v>
      </c>
      <c r="D6" s="10" t="s">
        <v>14</v>
      </c>
      <c r="E6" s="10" t="s">
        <v>15</v>
      </c>
      <c r="F6" s="10" t="s">
        <v>31</v>
      </c>
      <c r="G6" s="12" t="s">
        <v>32</v>
      </c>
      <c r="H6" s="13" t="s">
        <v>27</v>
      </c>
      <c r="I6" s="23"/>
      <c r="J6" s="10"/>
      <c r="K6" s="10"/>
      <c r="L6" s="10"/>
      <c r="M6" s="24">
        <f>IF(AND(R5&lt;=60,R6&lt;=60,R7&lt;=60,R4&lt;=0.5,(R5+R6+R7)&lt;=90),3.37+28.1*R4,"不符合运输标准")</f>
        <v>9.833</v>
      </c>
      <c r="O6" s="25"/>
      <c r="P6" s="27"/>
      <c r="Q6" s="34" t="s">
        <v>33</v>
      </c>
      <c r="R6" s="36">
        <v>20</v>
      </c>
      <c r="S6" s="1"/>
    </row>
    <row r="7" ht="49.5" spans="1:19">
      <c r="A7"/>
      <c r="B7" s="6" t="s">
        <v>0</v>
      </c>
      <c r="C7" s="6" t="s">
        <v>1</v>
      </c>
      <c r="D7" s="6" t="s">
        <v>2</v>
      </c>
      <c r="E7" s="7" t="s">
        <v>3</v>
      </c>
      <c r="F7" s="7" t="s">
        <v>4</v>
      </c>
      <c r="G7" s="7" t="s">
        <v>5</v>
      </c>
      <c r="H7" s="8" t="s">
        <v>6</v>
      </c>
      <c r="I7" s="7" t="s">
        <v>7</v>
      </c>
      <c r="J7" s="7" t="s">
        <v>8</v>
      </c>
      <c r="K7" s="6" t="s">
        <v>9</v>
      </c>
      <c r="L7" s="20" t="s">
        <v>10</v>
      </c>
      <c r="M7" s="21" t="s">
        <v>11</v>
      </c>
      <c r="O7" s="25"/>
      <c r="P7" s="27"/>
      <c r="Q7" s="34" t="s">
        <v>34</v>
      </c>
      <c r="R7" s="36">
        <v>30</v>
      </c>
      <c r="S7" s="1"/>
    </row>
    <row r="8" ht="39" customHeight="1" spans="1:19">
      <c r="A8"/>
      <c r="B8" s="9" t="s">
        <v>35</v>
      </c>
      <c r="C8" s="10" t="s">
        <v>36</v>
      </c>
      <c r="D8" s="10" t="s">
        <v>14</v>
      </c>
      <c r="E8" s="10" t="s">
        <v>15</v>
      </c>
      <c r="F8" s="11" t="s">
        <v>16</v>
      </c>
      <c r="G8" s="12" t="s">
        <v>37</v>
      </c>
      <c r="H8" s="13" t="s">
        <v>18</v>
      </c>
      <c r="I8" s="23" t="s">
        <v>38</v>
      </c>
      <c r="J8" s="10" t="s">
        <v>39</v>
      </c>
      <c r="K8" s="10" t="s">
        <v>40</v>
      </c>
      <c r="L8" s="10" t="s">
        <v>22</v>
      </c>
      <c r="M8" s="24">
        <f>IF(AND(R5&lt;=60,R6&lt;=60,R7&lt;=60,R4&lt;=2,(R5+R6+R7)&lt;=150),17.97+50.5*R4,"不符合运输标准")</f>
        <v>29.585</v>
      </c>
      <c r="O8" s="25"/>
      <c r="P8" s="27" t="s">
        <v>41</v>
      </c>
      <c r="Q8" s="37"/>
      <c r="R8" s="36">
        <v>8000</v>
      </c>
      <c r="S8" s="1"/>
    </row>
    <row r="9" ht="36" customHeight="1" spans="1:24">
      <c r="A9"/>
      <c r="B9" s="9"/>
      <c r="C9" s="10" t="s">
        <v>42</v>
      </c>
      <c r="D9" s="10" t="s">
        <v>14</v>
      </c>
      <c r="E9" s="10" t="s">
        <v>15</v>
      </c>
      <c r="F9" s="11" t="s">
        <v>25</v>
      </c>
      <c r="G9" s="12" t="s">
        <v>43</v>
      </c>
      <c r="H9" s="13" t="s">
        <v>27</v>
      </c>
      <c r="I9" s="23"/>
      <c r="J9" s="10"/>
      <c r="K9" s="10"/>
      <c r="L9" s="10"/>
      <c r="M9" s="24">
        <f>IF(AND(R5&lt;=60,R6&lt;=60,R7&lt;=60,R4&lt;=2,(R5+R6+R7)&lt;=150),17.97+39.3*R4,"不符合运输标准")</f>
        <v>27.009</v>
      </c>
      <c r="P9" s="28"/>
      <c r="Q9" s="28"/>
      <c r="R9" s="38"/>
      <c r="V9" s="25"/>
      <c r="X9" s="1"/>
    </row>
    <row r="10" ht="33" customHeight="1" spans="1:13">
      <c r="A10"/>
      <c r="B10" s="9"/>
      <c r="C10" s="10" t="s">
        <v>44</v>
      </c>
      <c r="D10" s="10" t="s">
        <v>14</v>
      </c>
      <c r="E10" s="10" t="s">
        <v>15</v>
      </c>
      <c r="F10" s="10" t="s">
        <v>31</v>
      </c>
      <c r="G10" s="12" t="s">
        <v>45</v>
      </c>
      <c r="H10" s="13" t="s">
        <v>27</v>
      </c>
      <c r="I10" s="23"/>
      <c r="J10" s="10"/>
      <c r="K10" s="10"/>
      <c r="L10" s="10"/>
      <c r="M10" s="24">
        <f>IF(AND(R5&lt;=60,R6&lt;=60,R7&lt;=60,R4&lt;=2,(R5+R6+R7)&lt;=150),17.97+28.1*R4,"不符合运输标准")</f>
        <v>24.433</v>
      </c>
    </row>
    <row r="11" ht="49.5" spans="1:13">
      <c r="A11"/>
      <c r="B11" s="6" t="s">
        <v>0</v>
      </c>
      <c r="C11" s="6" t="s">
        <v>1</v>
      </c>
      <c r="D11" s="6" t="s">
        <v>2</v>
      </c>
      <c r="E11" s="7" t="s">
        <v>3</v>
      </c>
      <c r="F11" s="7" t="s">
        <v>4</v>
      </c>
      <c r="G11" s="7" t="s">
        <v>5</v>
      </c>
      <c r="H11" s="8" t="s">
        <v>6</v>
      </c>
      <c r="I11" s="7" t="s">
        <v>7</v>
      </c>
      <c r="J11" s="7" t="s">
        <v>8</v>
      </c>
      <c r="K11" s="6" t="s">
        <v>9</v>
      </c>
      <c r="L11" s="20" t="s">
        <v>10</v>
      </c>
      <c r="M11" s="21" t="s">
        <v>11</v>
      </c>
    </row>
    <row r="12" ht="29" spans="1:13">
      <c r="A12"/>
      <c r="B12" s="9" t="s">
        <v>46</v>
      </c>
      <c r="C12" s="10" t="s">
        <v>47</v>
      </c>
      <c r="D12" s="10" t="s">
        <v>14</v>
      </c>
      <c r="E12" s="10" t="s">
        <v>15</v>
      </c>
      <c r="F12" s="11" t="s">
        <v>25</v>
      </c>
      <c r="G12" s="12" t="s">
        <v>48</v>
      </c>
      <c r="H12" s="13" t="s">
        <v>27</v>
      </c>
      <c r="I12" s="23" t="s">
        <v>49</v>
      </c>
      <c r="J12" s="10" t="s">
        <v>20</v>
      </c>
      <c r="K12" s="10" t="s">
        <v>50</v>
      </c>
      <c r="L12" s="10" t="s">
        <v>22</v>
      </c>
      <c r="M12" s="24" t="str">
        <f>IF(AND(R5&lt;=60,R6&lt;=60,R7&lt;=60,R4&gt;=0.5,R4&lt;=30,(R5+R6+R7)&lt;=150),25.83+28.1*R4,"不符合运输标准")</f>
        <v>不符合运输标准</v>
      </c>
    </row>
    <row r="13" ht="84" customHeight="1" spans="1:18">
      <c r="A13"/>
      <c r="B13" s="9"/>
      <c r="C13" s="10" t="s">
        <v>51</v>
      </c>
      <c r="D13" s="10" t="s">
        <v>14</v>
      </c>
      <c r="E13" s="10" t="s">
        <v>15</v>
      </c>
      <c r="F13" s="11" t="s">
        <v>31</v>
      </c>
      <c r="G13" s="12" t="s">
        <v>52</v>
      </c>
      <c r="H13" s="13" t="s">
        <v>27</v>
      </c>
      <c r="I13" s="23"/>
      <c r="J13" s="10"/>
      <c r="K13" s="10"/>
      <c r="L13" s="10"/>
      <c r="M13" s="24" t="str">
        <f>IF(AND(R5&lt;=60,R6&lt;=60,R7&lt;=60,R4&gt;=0.5,R4&lt;=30,(R5+R6+R7)&lt;=150),25.83+19.1*R4,"不符合运输标准")</f>
        <v>不符合运输标准</v>
      </c>
      <c r="P13" s="25"/>
      <c r="R13" s="1"/>
    </row>
    <row r="14" ht="49.5" spans="1:13">
      <c r="A14"/>
      <c r="B14" s="6" t="s">
        <v>0</v>
      </c>
      <c r="C14" s="6" t="s">
        <v>1</v>
      </c>
      <c r="D14" s="6" t="s">
        <v>2</v>
      </c>
      <c r="E14" s="7" t="s">
        <v>3</v>
      </c>
      <c r="F14" s="7" t="s">
        <v>4</v>
      </c>
      <c r="G14" s="7" t="s">
        <v>5</v>
      </c>
      <c r="H14" s="8" t="s">
        <v>6</v>
      </c>
      <c r="I14" s="7" t="s">
        <v>7</v>
      </c>
      <c r="J14" s="7" t="s">
        <v>8</v>
      </c>
      <c r="K14" s="6" t="s">
        <v>9</v>
      </c>
      <c r="L14" s="20" t="s">
        <v>10</v>
      </c>
      <c r="M14" s="21" t="s">
        <v>11</v>
      </c>
    </row>
    <row r="15" ht="43.5" spans="1:13">
      <c r="A15"/>
      <c r="B15" s="9" t="s">
        <v>53</v>
      </c>
      <c r="C15" s="10" t="s">
        <v>54</v>
      </c>
      <c r="D15" s="10" t="s">
        <v>14</v>
      </c>
      <c r="E15" s="10" t="s">
        <v>15</v>
      </c>
      <c r="F15" s="11" t="s">
        <v>16</v>
      </c>
      <c r="G15" s="12" t="s">
        <v>55</v>
      </c>
      <c r="H15" s="13" t="s">
        <v>18</v>
      </c>
      <c r="I15" s="23" t="s">
        <v>56</v>
      </c>
      <c r="J15" s="10" t="s">
        <v>57</v>
      </c>
      <c r="K15" s="10" t="s">
        <v>58</v>
      </c>
      <c r="L15" s="10" t="s">
        <v>22</v>
      </c>
      <c r="M15" s="29">
        <f>IF(AND(R5&lt;=150,R6&lt;=150,R7&lt;=150,R4&lt;=5,(R5+R6+R7)&lt;=250),24.71+50.5*R4,"不符合运输标准")</f>
        <v>36.325</v>
      </c>
    </row>
    <row r="16" ht="43.5" spans="1:13">
      <c r="A16"/>
      <c r="B16" s="9"/>
      <c r="C16" s="10" t="s">
        <v>59</v>
      </c>
      <c r="D16" s="10" t="s">
        <v>14</v>
      </c>
      <c r="E16" s="10" t="s">
        <v>15</v>
      </c>
      <c r="F16" s="11" t="s">
        <v>25</v>
      </c>
      <c r="G16" s="12" t="s">
        <v>60</v>
      </c>
      <c r="H16" s="13" t="s">
        <v>27</v>
      </c>
      <c r="I16" s="23"/>
      <c r="J16" s="10"/>
      <c r="K16" s="10"/>
      <c r="L16" s="10"/>
      <c r="M16" s="29">
        <f>IF(AND(R5&lt;=150,R6&lt;=150,R7&lt;=150,R4&lt;=5,(R5+R6+R7)&lt;=250),24.71+39.3*R4,"不符合运输标准")</f>
        <v>33.749</v>
      </c>
    </row>
    <row r="17" ht="43.5" spans="1:13">
      <c r="A17"/>
      <c r="B17" s="9"/>
      <c r="C17" s="10" t="s">
        <v>61</v>
      </c>
      <c r="D17" s="10" t="s">
        <v>14</v>
      </c>
      <c r="E17" s="10" t="s">
        <v>15</v>
      </c>
      <c r="F17" s="11" t="s">
        <v>31</v>
      </c>
      <c r="G17" s="12" t="s">
        <v>62</v>
      </c>
      <c r="H17" s="13" t="s">
        <v>27</v>
      </c>
      <c r="I17" s="23"/>
      <c r="J17" s="10"/>
      <c r="K17" s="10"/>
      <c r="L17" s="10"/>
      <c r="M17" s="29">
        <f>IF(AND(R5&lt;=150,R6&lt;=150,R7&lt;=150,R4&lt;=5,(R5+R6+R7)&lt;=250),24.71+28.1*R4,"不符合运输标准")</f>
        <v>31.173</v>
      </c>
    </row>
    <row r="18" ht="49.5" spans="1:13">
      <c r="A18"/>
      <c r="B18" s="6" t="s">
        <v>0</v>
      </c>
      <c r="C18" s="6" t="s">
        <v>1</v>
      </c>
      <c r="D18" s="6" t="s">
        <v>2</v>
      </c>
      <c r="E18" s="7" t="s">
        <v>3</v>
      </c>
      <c r="F18" s="7" t="s">
        <v>4</v>
      </c>
      <c r="G18" s="7" t="s">
        <v>5</v>
      </c>
      <c r="H18" s="8" t="s">
        <v>6</v>
      </c>
      <c r="I18" s="7" t="s">
        <v>7</v>
      </c>
      <c r="J18" s="7" t="s">
        <v>8</v>
      </c>
      <c r="K18" s="6" t="s">
        <v>9</v>
      </c>
      <c r="L18" s="20" t="s">
        <v>10</v>
      </c>
      <c r="M18" s="21" t="s">
        <v>11</v>
      </c>
    </row>
    <row r="19" ht="87" customHeight="1" spans="1:13">
      <c r="A19"/>
      <c r="B19" s="15" t="s">
        <v>63</v>
      </c>
      <c r="C19" s="10" t="s">
        <v>64</v>
      </c>
      <c r="D19" s="10" t="s">
        <v>14</v>
      </c>
      <c r="E19" s="10" t="s">
        <v>15</v>
      </c>
      <c r="F19" s="11" t="s">
        <v>25</v>
      </c>
      <c r="G19" s="12" t="s">
        <v>65</v>
      </c>
      <c r="H19" s="13" t="s">
        <v>27</v>
      </c>
      <c r="I19" s="23" t="s">
        <v>66</v>
      </c>
      <c r="J19" s="30" t="s">
        <v>67</v>
      </c>
      <c r="K19" s="31" t="s">
        <v>68</v>
      </c>
      <c r="L19" s="10" t="s">
        <v>22</v>
      </c>
      <c r="M19" s="29" t="str">
        <f>IF(AND(R5&lt;=150,R6&lt;=150,R7&lt;=150,R4&gt;=2,R4&lt;=30,(R5+R6+R7)&lt;=250),40.44+28.1*R4,"不符合运输标准")</f>
        <v>不符合运输标准</v>
      </c>
    </row>
    <row r="20" ht="51" customHeight="1" spans="1:13">
      <c r="A20"/>
      <c r="B20" s="6" t="s">
        <v>0</v>
      </c>
      <c r="C20" s="6" t="s">
        <v>1</v>
      </c>
      <c r="D20" s="6" t="s">
        <v>2</v>
      </c>
      <c r="E20" s="7" t="s">
        <v>3</v>
      </c>
      <c r="F20" s="7" t="s">
        <v>4</v>
      </c>
      <c r="G20" s="7" t="s">
        <v>5</v>
      </c>
      <c r="H20" s="8" t="s">
        <v>6</v>
      </c>
      <c r="I20" s="7" t="s">
        <v>7</v>
      </c>
      <c r="J20" s="7" t="s">
        <v>8</v>
      </c>
      <c r="K20" s="6" t="s">
        <v>9</v>
      </c>
      <c r="L20" s="20" t="s">
        <v>10</v>
      </c>
      <c r="M20" s="21" t="s">
        <v>11</v>
      </c>
    </row>
    <row r="21" ht="101.5" spans="1:13">
      <c r="A21"/>
      <c r="B21" s="9" t="s">
        <v>69</v>
      </c>
      <c r="C21" s="10" t="s">
        <v>70</v>
      </c>
      <c r="D21" s="10" t="s">
        <v>14</v>
      </c>
      <c r="E21" s="10" t="s">
        <v>15</v>
      </c>
      <c r="F21" s="11" t="s">
        <v>31</v>
      </c>
      <c r="G21" s="12" t="s">
        <v>71</v>
      </c>
      <c r="H21" s="13" t="s">
        <v>27</v>
      </c>
      <c r="I21" s="23" t="s">
        <v>72</v>
      </c>
      <c r="J21" s="30" t="s">
        <v>57</v>
      </c>
      <c r="K21" s="31" t="s">
        <v>73</v>
      </c>
      <c r="L21" s="10" t="s">
        <v>22</v>
      </c>
      <c r="M21" s="29" t="str">
        <f>IF(AND(R5&lt;=150,R6&lt;=150,R7&lt;=150,R4&gt;=5,R4&lt;=30,(R5+R6+R7)&lt;=310,R8&gt;7000),69.64+25.8*R4,"不符合运输标准")</f>
        <v>不符合运输标准</v>
      </c>
    </row>
    <row r="22" ht="49.5" customHeight="1" spans="1:13">
      <c r="A22"/>
      <c r="B22" s="6" t="s">
        <v>0</v>
      </c>
      <c r="C22" s="6" t="s">
        <v>1</v>
      </c>
      <c r="D22" s="6" t="s">
        <v>2</v>
      </c>
      <c r="E22" s="7" t="s">
        <v>3</v>
      </c>
      <c r="F22" s="7" t="s">
        <v>74</v>
      </c>
      <c r="G22" s="7" t="s">
        <v>5</v>
      </c>
      <c r="H22" s="8" t="s">
        <v>6</v>
      </c>
      <c r="I22" s="7" t="s">
        <v>7</v>
      </c>
      <c r="J22" s="7" t="s">
        <v>8</v>
      </c>
      <c r="K22" s="6" t="s">
        <v>9</v>
      </c>
      <c r="L22" s="20" t="s">
        <v>10</v>
      </c>
      <c r="M22" s="21" t="s">
        <v>11</v>
      </c>
    </row>
    <row r="23" ht="102" customHeight="1" spans="1:13">
      <c r="A23"/>
      <c r="B23" s="16" t="s">
        <v>75</v>
      </c>
      <c r="C23" s="10" t="s">
        <v>76</v>
      </c>
      <c r="D23" s="10" t="s">
        <v>77</v>
      </c>
      <c r="E23" s="10" t="s">
        <v>15</v>
      </c>
      <c r="F23" s="11" t="s">
        <v>31</v>
      </c>
      <c r="G23" s="12" t="s">
        <v>78</v>
      </c>
      <c r="H23" s="13" t="s">
        <v>27</v>
      </c>
      <c r="I23" s="23" t="s">
        <v>19</v>
      </c>
      <c r="J23" s="30" t="s">
        <v>79</v>
      </c>
      <c r="K23" s="31" t="s">
        <v>80</v>
      </c>
      <c r="L23" s="10" t="s">
        <v>22</v>
      </c>
      <c r="M23" s="24">
        <f>IF(AND(R5&lt;=60,R6&lt;=60,R7&lt;=60,R4&lt;=0.5,(R5+R6+R7)&lt;=90),3.12+36.4*R4,"不符合运输标准")</f>
        <v>11.492</v>
      </c>
    </row>
    <row r="24" ht="102" customHeight="1" spans="1:13">
      <c r="A24"/>
      <c r="B24" s="16" t="s">
        <v>81</v>
      </c>
      <c r="C24" s="10" t="s">
        <v>82</v>
      </c>
      <c r="D24" s="10" t="s">
        <v>77</v>
      </c>
      <c r="E24" s="10" t="s">
        <v>15</v>
      </c>
      <c r="F24" s="11" t="s">
        <v>83</v>
      </c>
      <c r="G24" s="12" t="s">
        <v>84</v>
      </c>
      <c r="H24" s="13" t="s">
        <v>27</v>
      </c>
      <c r="I24" s="23" t="s">
        <v>19</v>
      </c>
      <c r="J24" s="30" t="s">
        <v>79</v>
      </c>
      <c r="K24" s="31" t="s">
        <v>80</v>
      </c>
      <c r="L24" s="10" t="s">
        <v>22</v>
      </c>
      <c r="M24" s="24">
        <f>IF(AND(R5&lt;=60,R6&lt;=60,R7&lt;=60,R4&lt;=0.5,(R5+R6+R7)&lt;=90),3.12+26*R4,"不符合运输标准")</f>
        <v>9.1</v>
      </c>
    </row>
    <row r="25" ht="49.5" customHeight="1" spans="1:13">
      <c r="A25"/>
      <c r="B25" s="6" t="s">
        <v>0</v>
      </c>
      <c r="C25" s="6" t="s">
        <v>1</v>
      </c>
      <c r="D25" s="6" t="s">
        <v>2</v>
      </c>
      <c r="E25" s="7" t="s">
        <v>3</v>
      </c>
      <c r="F25" s="7" t="s">
        <v>74</v>
      </c>
      <c r="G25" s="7" t="s">
        <v>5</v>
      </c>
      <c r="H25" s="8" t="s">
        <v>6</v>
      </c>
      <c r="I25" s="7" t="s">
        <v>7</v>
      </c>
      <c r="J25" s="7" t="s">
        <v>8</v>
      </c>
      <c r="K25" s="6" t="s">
        <v>9</v>
      </c>
      <c r="L25" s="20" t="s">
        <v>10</v>
      </c>
      <c r="M25" s="21" t="s">
        <v>11</v>
      </c>
    </row>
    <row r="26" ht="107.1" customHeight="1" spans="1:13">
      <c r="A26"/>
      <c r="B26" s="16" t="s">
        <v>85</v>
      </c>
      <c r="C26" s="10" t="s">
        <v>86</v>
      </c>
      <c r="D26" s="10" t="s">
        <v>77</v>
      </c>
      <c r="E26" s="10" t="s">
        <v>15</v>
      </c>
      <c r="F26" s="11" t="s">
        <v>25</v>
      </c>
      <c r="G26" s="12" t="s">
        <v>78</v>
      </c>
      <c r="H26" s="13" t="s">
        <v>27</v>
      </c>
      <c r="I26" s="23" t="s">
        <v>19</v>
      </c>
      <c r="J26" s="30" t="s">
        <v>79</v>
      </c>
      <c r="K26" s="31" t="s">
        <v>87</v>
      </c>
      <c r="L26" s="10" t="s">
        <v>22</v>
      </c>
      <c r="M26" s="24">
        <f>IF(AND(R5&lt;=60,R6&lt;=60,R7&lt;=60,R4&lt;=0.5,(R5+R6+R7)&lt;=90),3.12+36.4*R4,"不符合运输标准")</f>
        <v>11.492</v>
      </c>
    </row>
    <row r="27" ht="107.1" customHeight="1" spans="1:13">
      <c r="A27"/>
      <c r="B27" s="16" t="s">
        <v>88</v>
      </c>
      <c r="C27" s="10" t="s">
        <v>89</v>
      </c>
      <c r="D27" s="10" t="s">
        <v>77</v>
      </c>
      <c r="E27" s="10" t="s">
        <v>15</v>
      </c>
      <c r="F27" s="11" t="s">
        <v>90</v>
      </c>
      <c r="G27" s="12" t="s">
        <v>84</v>
      </c>
      <c r="H27" s="13" t="s">
        <v>27</v>
      </c>
      <c r="I27" s="23" t="s">
        <v>19</v>
      </c>
      <c r="J27" s="30" t="s">
        <v>79</v>
      </c>
      <c r="K27" s="31" t="s">
        <v>87</v>
      </c>
      <c r="L27" s="10" t="s">
        <v>22</v>
      </c>
      <c r="M27" s="24">
        <f>IF(AND(R5&lt;=60,R6&lt;=60,R7&lt;=60,R4&lt;=0.5,(R5+R6+R7)&lt;=90),3.12+26*R4,"不符合运输标准")</f>
        <v>9.1</v>
      </c>
    </row>
    <row r="28" ht="49.5" customHeight="1" spans="1:13">
      <c r="A28"/>
      <c r="B28" s="6" t="s">
        <v>0</v>
      </c>
      <c r="C28" s="6" t="s">
        <v>1</v>
      </c>
      <c r="D28" s="6" t="s">
        <v>2</v>
      </c>
      <c r="E28" s="7" t="s">
        <v>3</v>
      </c>
      <c r="F28" s="7" t="s">
        <v>91</v>
      </c>
      <c r="G28" s="7" t="s">
        <v>5</v>
      </c>
      <c r="H28" s="8" t="s">
        <v>6</v>
      </c>
      <c r="I28" s="7" t="s">
        <v>7</v>
      </c>
      <c r="J28" s="7" t="s">
        <v>8</v>
      </c>
      <c r="K28" s="6" t="s">
        <v>9</v>
      </c>
      <c r="L28" s="20" t="s">
        <v>10</v>
      </c>
      <c r="M28" s="21" t="s">
        <v>11</v>
      </c>
    </row>
    <row r="29" ht="81.95" customHeight="1" spans="1:13">
      <c r="A29"/>
      <c r="B29" s="16" t="s">
        <v>92</v>
      </c>
      <c r="C29" s="10" t="s">
        <v>93</v>
      </c>
      <c r="D29" s="10" t="s">
        <v>77</v>
      </c>
      <c r="E29" s="10" t="s">
        <v>15</v>
      </c>
      <c r="F29" s="11" t="s">
        <v>31</v>
      </c>
      <c r="G29" s="12" t="s">
        <v>94</v>
      </c>
      <c r="H29" s="13" t="s">
        <v>27</v>
      </c>
      <c r="I29" s="23" t="s">
        <v>95</v>
      </c>
      <c r="J29" s="30" t="s">
        <v>79</v>
      </c>
      <c r="K29" s="31" t="s">
        <v>96</v>
      </c>
      <c r="L29" s="10" t="s">
        <v>22</v>
      </c>
      <c r="M29" s="29" t="str">
        <f>IF(AND(R5&lt;=60,R6&lt;=60,R7&lt;=60,R4&gt;=0.5,R4&lt;=35,(R5+R6+R7)&lt;=150),23.92+26*R4,"不符合运输标准")</f>
        <v>不符合运输标准</v>
      </c>
    </row>
    <row r="30" ht="81.95" customHeight="1" spans="1:13">
      <c r="A30"/>
      <c r="B30" s="17" t="s">
        <v>97</v>
      </c>
      <c r="C30" s="10" t="s">
        <v>98</v>
      </c>
      <c r="D30" s="10" t="s">
        <v>77</v>
      </c>
      <c r="E30" s="10" t="s">
        <v>15</v>
      </c>
      <c r="F30" s="11" t="s">
        <v>83</v>
      </c>
      <c r="G30" s="12" t="s">
        <v>99</v>
      </c>
      <c r="H30" s="13" t="s">
        <v>27</v>
      </c>
      <c r="I30" s="23" t="s">
        <v>95</v>
      </c>
      <c r="J30" s="30" t="s">
        <v>79</v>
      </c>
      <c r="K30" s="31" t="s">
        <v>96</v>
      </c>
      <c r="L30" s="10" t="s">
        <v>22</v>
      </c>
      <c r="M30" s="29" t="str">
        <f>IF(AND(R5&lt;=60,R6&lt;=60,R7&lt;=60,R4&gt;=0.5,R4&lt;=35,(R5+R6+R7)&lt;=150),23.92+17.68*R4,"不符合运输标准")</f>
        <v>不符合运输标准</v>
      </c>
    </row>
    <row r="31" ht="49.5" customHeight="1" spans="1:13">
      <c r="A31"/>
      <c r="B31" s="6" t="s">
        <v>0</v>
      </c>
      <c r="C31" s="6" t="s">
        <v>1</v>
      </c>
      <c r="D31" s="6" t="s">
        <v>2</v>
      </c>
      <c r="E31" s="7" t="s">
        <v>3</v>
      </c>
      <c r="F31" s="7" t="s">
        <v>74</v>
      </c>
      <c r="G31" s="7" t="s">
        <v>5</v>
      </c>
      <c r="H31" s="8" t="s">
        <v>6</v>
      </c>
      <c r="I31" s="7" t="s">
        <v>7</v>
      </c>
      <c r="J31" s="7" t="s">
        <v>8</v>
      </c>
      <c r="K31" s="6" t="s">
        <v>9</v>
      </c>
      <c r="L31" s="20" t="s">
        <v>10</v>
      </c>
      <c r="M31" s="21" t="s">
        <v>11</v>
      </c>
    </row>
    <row r="32" ht="81.95" customHeight="1" spans="1:13">
      <c r="A32"/>
      <c r="B32" s="16" t="s">
        <v>100</v>
      </c>
      <c r="C32" s="10" t="s">
        <v>101</v>
      </c>
      <c r="D32" s="10" t="s">
        <v>77</v>
      </c>
      <c r="E32" s="10" t="s">
        <v>15</v>
      </c>
      <c r="F32" s="11" t="s">
        <v>25</v>
      </c>
      <c r="G32" s="12" t="s">
        <v>94</v>
      </c>
      <c r="H32" s="13" t="s">
        <v>27</v>
      </c>
      <c r="I32" s="23" t="s">
        <v>95</v>
      </c>
      <c r="J32" s="30" t="s">
        <v>79</v>
      </c>
      <c r="K32" s="31" t="s">
        <v>96</v>
      </c>
      <c r="L32" s="10" t="s">
        <v>22</v>
      </c>
      <c r="M32" s="29" t="str">
        <f>IF(AND(R5&lt;=60,R6&lt;=60,R7&lt;=60,R4&gt;=0.5,R4&lt;=35,(R5+R6+R7)&lt;=150),23.92+26*R4,"不符合运输标准")</f>
        <v>不符合运输标准</v>
      </c>
    </row>
    <row r="33" ht="81.95" customHeight="1" spans="1:13">
      <c r="A33"/>
      <c r="B33" s="16" t="s">
        <v>102</v>
      </c>
      <c r="C33" s="10" t="s">
        <v>103</v>
      </c>
      <c r="D33" s="10" t="s">
        <v>77</v>
      </c>
      <c r="E33" s="10" t="s">
        <v>15</v>
      </c>
      <c r="F33" s="11" t="s">
        <v>90</v>
      </c>
      <c r="G33" s="12" t="s">
        <v>99</v>
      </c>
      <c r="H33" s="13" t="s">
        <v>27</v>
      </c>
      <c r="I33" s="23" t="s">
        <v>95</v>
      </c>
      <c r="J33" s="30" t="s">
        <v>79</v>
      </c>
      <c r="K33" s="31" t="s">
        <v>96</v>
      </c>
      <c r="L33" s="10" t="s">
        <v>22</v>
      </c>
      <c r="M33" s="29" t="str">
        <f>IF(AND(R5&lt;=60,R6&lt;=60,R7&lt;=60,R4&gt;=0.5,R4&lt;=35,(R5+R6+R7)&lt;=90),23.92+17.68*R4,"不符合运输标准")</f>
        <v>不符合运输标准</v>
      </c>
    </row>
    <row r="34" ht="49.5" customHeight="1" spans="1:13">
      <c r="A34"/>
      <c r="B34" s="6" t="s">
        <v>0</v>
      </c>
      <c r="C34" s="6" t="s">
        <v>1</v>
      </c>
      <c r="D34" s="6" t="s">
        <v>2</v>
      </c>
      <c r="E34" s="7" t="s">
        <v>3</v>
      </c>
      <c r="F34" s="7" t="s">
        <v>91</v>
      </c>
      <c r="G34" s="7" t="s">
        <v>5</v>
      </c>
      <c r="H34" s="8" t="s">
        <v>6</v>
      </c>
      <c r="I34" s="7" t="s">
        <v>7</v>
      </c>
      <c r="J34" s="7" t="s">
        <v>8</v>
      </c>
      <c r="K34" s="6" t="s">
        <v>9</v>
      </c>
      <c r="L34" s="20" t="s">
        <v>10</v>
      </c>
      <c r="M34" s="21" t="s">
        <v>11</v>
      </c>
    </row>
    <row r="35" ht="81.95" customHeight="1" spans="1:13">
      <c r="A35"/>
      <c r="B35" s="16" t="s">
        <v>104</v>
      </c>
      <c r="C35" s="18" t="s">
        <v>105</v>
      </c>
      <c r="D35" s="10" t="s">
        <v>77</v>
      </c>
      <c r="E35" s="10" t="s">
        <v>15</v>
      </c>
      <c r="F35" s="11" t="s">
        <v>31</v>
      </c>
      <c r="G35" s="12" t="s">
        <v>106</v>
      </c>
      <c r="H35" s="13" t="s">
        <v>27</v>
      </c>
      <c r="I35" s="23" t="s">
        <v>38</v>
      </c>
      <c r="J35" s="30" t="s">
        <v>39</v>
      </c>
      <c r="K35" s="31" t="s">
        <v>107</v>
      </c>
      <c r="L35" s="10" t="s">
        <v>22</v>
      </c>
      <c r="M35" s="29">
        <f>IF(AND(R5&lt;=60,R6&lt;=60,R7&lt;=60,R4&lt;=2,(R5+R6+R7)&lt;=150),16.64+36.4*R4,"不符合运输标准")</f>
        <v>25.012</v>
      </c>
    </row>
    <row r="36" ht="81.95" customHeight="1" spans="1:13">
      <c r="A36"/>
      <c r="B36" s="16" t="s">
        <v>108</v>
      </c>
      <c r="C36" s="18" t="s">
        <v>109</v>
      </c>
      <c r="D36" s="10" t="s">
        <v>77</v>
      </c>
      <c r="E36" s="10" t="s">
        <v>15</v>
      </c>
      <c r="F36" s="11" t="s">
        <v>83</v>
      </c>
      <c r="G36" s="12" t="s">
        <v>110</v>
      </c>
      <c r="H36" s="13" t="s">
        <v>27</v>
      </c>
      <c r="I36" s="23" t="s">
        <v>38</v>
      </c>
      <c r="J36" s="30" t="s">
        <v>67</v>
      </c>
      <c r="K36" s="31" t="s">
        <v>107</v>
      </c>
      <c r="L36" s="10" t="s">
        <v>22</v>
      </c>
      <c r="M36" s="29">
        <f>IF(AND(R5&lt;=60,R6&lt;=60,R7&lt;=60,R4&lt;=2,(R5+R6+R7)&lt;=150),16.64+26*R4,"不符合运输标准")</f>
        <v>22.62</v>
      </c>
    </row>
    <row r="37" ht="49.5" customHeight="1" spans="1:13">
      <c r="A37"/>
      <c r="B37" s="6" t="s">
        <v>0</v>
      </c>
      <c r="C37" s="6" t="s">
        <v>1</v>
      </c>
      <c r="D37" s="6" t="s">
        <v>2</v>
      </c>
      <c r="E37" s="7" t="s">
        <v>3</v>
      </c>
      <c r="F37" s="7" t="s">
        <v>74</v>
      </c>
      <c r="G37" s="7" t="s">
        <v>5</v>
      </c>
      <c r="H37" s="8" t="s">
        <v>6</v>
      </c>
      <c r="I37" s="7" t="s">
        <v>7</v>
      </c>
      <c r="J37" s="7" t="s">
        <v>8</v>
      </c>
      <c r="K37" s="6" t="s">
        <v>9</v>
      </c>
      <c r="L37" s="20" t="s">
        <v>10</v>
      </c>
      <c r="M37" s="21" t="s">
        <v>11</v>
      </c>
    </row>
    <row r="38" ht="87.95" customHeight="1" spans="1:13">
      <c r="A38"/>
      <c r="B38" s="16" t="s">
        <v>111</v>
      </c>
      <c r="C38" s="18" t="s">
        <v>112</v>
      </c>
      <c r="D38" s="10" t="s">
        <v>77</v>
      </c>
      <c r="E38" s="10" t="s">
        <v>15</v>
      </c>
      <c r="F38" s="11" t="s">
        <v>25</v>
      </c>
      <c r="G38" s="12" t="s">
        <v>106</v>
      </c>
      <c r="H38" s="13" t="s">
        <v>27</v>
      </c>
      <c r="I38" s="23" t="s">
        <v>38</v>
      </c>
      <c r="J38" s="30" t="s">
        <v>39</v>
      </c>
      <c r="K38" s="31" t="s">
        <v>107</v>
      </c>
      <c r="L38" s="10" t="s">
        <v>22</v>
      </c>
      <c r="M38" s="29">
        <f>IF(AND(R5&lt;=60,R6&lt;=60,R7&lt;=60,R4&lt;=2,(R5+R6+R7)&lt;=150),16.64+36.4*R4,"不符合运输标准")</f>
        <v>25.012</v>
      </c>
    </row>
    <row r="39" ht="87.95" customHeight="1" spans="1:13">
      <c r="A39"/>
      <c r="B39" s="16" t="s">
        <v>113</v>
      </c>
      <c r="C39" s="18" t="s">
        <v>114</v>
      </c>
      <c r="D39" s="10" t="s">
        <v>77</v>
      </c>
      <c r="E39" s="10" t="s">
        <v>15</v>
      </c>
      <c r="F39" s="11" t="s">
        <v>90</v>
      </c>
      <c r="G39" s="12" t="s">
        <v>110</v>
      </c>
      <c r="H39" s="13" t="s">
        <v>27</v>
      </c>
      <c r="I39" s="23" t="s">
        <v>38</v>
      </c>
      <c r="J39" s="30" t="s">
        <v>67</v>
      </c>
      <c r="K39" s="31" t="s">
        <v>107</v>
      </c>
      <c r="L39" s="10" t="s">
        <v>22</v>
      </c>
      <c r="M39" s="29">
        <f>IF(AND(R5&lt;=60,R6&lt;=60,R7&lt;=60,R4&lt;=2,(R5+R6+R7)&lt;=150),16.64+26*R4,"不符合运输标准")</f>
        <v>22.62</v>
      </c>
    </row>
    <row r="40" ht="49.5" customHeight="1" spans="1:13">
      <c r="A40"/>
      <c r="B40" s="6" t="s">
        <v>0</v>
      </c>
      <c r="C40" s="6" t="s">
        <v>1</v>
      </c>
      <c r="D40" s="6" t="s">
        <v>2</v>
      </c>
      <c r="E40" s="7" t="s">
        <v>3</v>
      </c>
      <c r="F40" s="7" t="s">
        <v>91</v>
      </c>
      <c r="G40" s="7" t="s">
        <v>5</v>
      </c>
      <c r="H40" s="8" t="s">
        <v>6</v>
      </c>
      <c r="I40" s="7" t="s">
        <v>7</v>
      </c>
      <c r="J40" s="7" t="s">
        <v>8</v>
      </c>
      <c r="K40" s="6" t="s">
        <v>9</v>
      </c>
      <c r="L40" s="20" t="s">
        <v>10</v>
      </c>
      <c r="M40" s="21" t="s">
        <v>11</v>
      </c>
    </row>
    <row r="41" ht="99" customHeight="1" spans="1:13">
      <c r="A41"/>
      <c r="B41" s="16" t="s">
        <v>115</v>
      </c>
      <c r="C41" s="18" t="s">
        <v>116</v>
      </c>
      <c r="D41" s="10" t="s">
        <v>77</v>
      </c>
      <c r="E41" s="10" t="s">
        <v>15</v>
      </c>
      <c r="F41" s="11" t="s">
        <v>31</v>
      </c>
      <c r="G41" s="12" t="s">
        <v>117</v>
      </c>
      <c r="H41" s="13" t="s">
        <v>27</v>
      </c>
      <c r="I41" s="23" t="s">
        <v>118</v>
      </c>
      <c r="J41" s="30" t="s">
        <v>39</v>
      </c>
      <c r="K41" s="31" t="s">
        <v>119</v>
      </c>
      <c r="L41" s="10" t="s">
        <v>22</v>
      </c>
      <c r="M41" s="29" t="str">
        <f>IF(AND(R5&lt;=150,R6&lt;=150,R7&lt;=150,R4&gt;=2,R4&lt;=35,(R5+R6+R7)&lt;=250),37.44+26*R4,"不符合运输标准")</f>
        <v>不符合运输标准</v>
      </c>
    </row>
    <row r="42" ht="99" customHeight="1" spans="1:13">
      <c r="A42"/>
      <c r="B42" s="16" t="s">
        <v>120</v>
      </c>
      <c r="C42" s="18" t="s">
        <v>121</v>
      </c>
      <c r="D42" s="10" t="s">
        <v>77</v>
      </c>
      <c r="E42" s="10" t="s">
        <v>15</v>
      </c>
      <c r="F42" s="11" t="s">
        <v>83</v>
      </c>
      <c r="G42" s="12" t="s">
        <v>122</v>
      </c>
      <c r="H42" s="13" t="s">
        <v>27</v>
      </c>
      <c r="I42" s="23" t="s">
        <v>118</v>
      </c>
      <c r="J42" s="30" t="s">
        <v>67</v>
      </c>
      <c r="K42" s="31" t="s">
        <v>119</v>
      </c>
      <c r="L42" s="10" t="s">
        <v>22</v>
      </c>
      <c r="M42" s="29" t="str">
        <f>IF(AND(R5&lt;=60,R6&lt;=60,R7&lt;=60,R4&gt;=2,R4&lt;=35,(R5+R6+R7)&lt;=150),37.44+17.68*R4,"不符合运输标准")</f>
        <v>不符合运输标准</v>
      </c>
    </row>
    <row r="43" ht="49.5" customHeight="1" spans="1:13">
      <c r="A43"/>
      <c r="B43" s="6" t="s">
        <v>0</v>
      </c>
      <c r="C43" s="6" t="s">
        <v>1</v>
      </c>
      <c r="D43" s="6" t="s">
        <v>2</v>
      </c>
      <c r="E43" s="7" t="s">
        <v>3</v>
      </c>
      <c r="F43" s="7" t="s">
        <v>74</v>
      </c>
      <c r="G43" s="7" t="s">
        <v>5</v>
      </c>
      <c r="H43" s="8" t="s">
        <v>6</v>
      </c>
      <c r="I43" s="7" t="s">
        <v>7</v>
      </c>
      <c r="J43" s="7" t="s">
        <v>8</v>
      </c>
      <c r="K43" s="6" t="s">
        <v>9</v>
      </c>
      <c r="L43" s="20" t="s">
        <v>10</v>
      </c>
      <c r="M43" s="21" t="s">
        <v>11</v>
      </c>
    </row>
    <row r="44" ht="90.95" customHeight="1" spans="1:13">
      <c r="A44"/>
      <c r="B44" s="16" t="s">
        <v>123</v>
      </c>
      <c r="C44" s="18" t="s">
        <v>124</v>
      </c>
      <c r="D44" s="10" t="s">
        <v>77</v>
      </c>
      <c r="E44" s="10" t="s">
        <v>15</v>
      </c>
      <c r="F44" s="11" t="s">
        <v>25</v>
      </c>
      <c r="G44" s="12" t="s">
        <v>117</v>
      </c>
      <c r="H44" s="13" t="s">
        <v>27</v>
      </c>
      <c r="I44" s="23" t="s">
        <v>118</v>
      </c>
      <c r="J44" s="30" t="s">
        <v>39</v>
      </c>
      <c r="K44" s="31" t="s">
        <v>119</v>
      </c>
      <c r="L44" s="10" t="s">
        <v>22</v>
      </c>
      <c r="M44" s="29" t="str">
        <f>IF(AND(R5&lt;=150,R6&lt;=150,R7&lt;=150,R4&gt;=2,R4&lt;=35,(R5+R6+R7)&lt;=250),37.44+26*R4,"不符合运输标准")</f>
        <v>不符合运输标准</v>
      </c>
    </row>
    <row r="45" ht="90.95" customHeight="1" spans="1:13">
      <c r="A45"/>
      <c r="B45" s="16" t="s">
        <v>125</v>
      </c>
      <c r="C45" s="18" t="s">
        <v>126</v>
      </c>
      <c r="D45" s="10" t="s">
        <v>77</v>
      </c>
      <c r="E45" s="10" t="s">
        <v>15</v>
      </c>
      <c r="F45" s="11" t="s">
        <v>90</v>
      </c>
      <c r="G45" s="12" t="s">
        <v>122</v>
      </c>
      <c r="H45" s="13" t="s">
        <v>27</v>
      </c>
      <c r="I45" s="23" t="s">
        <v>118</v>
      </c>
      <c r="J45" s="30" t="s">
        <v>39</v>
      </c>
      <c r="K45" s="31" t="s">
        <v>119</v>
      </c>
      <c r="L45" s="10" t="s">
        <v>22</v>
      </c>
      <c r="M45" s="29" t="str">
        <f>IF(AND(R5&lt;=60,R6&lt;=60,R7&lt;=60,R4&gt;=2,R4&lt;=35,(R5+R6+R7)&lt;=250),37.44+17.68*R4,"不符合运输标准")</f>
        <v>不符合运输标准</v>
      </c>
    </row>
    <row r="46" ht="49.5" customHeight="1" spans="1:13">
      <c r="A46"/>
      <c r="B46" s="6" t="s">
        <v>0</v>
      </c>
      <c r="C46" s="6" t="s">
        <v>1</v>
      </c>
      <c r="D46" s="6" t="s">
        <v>2</v>
      </c>
      <c r="E46" s="7" t="s">
        <v>3</v>
      </c>
      <c r="F46" s="7" t="s">
        <v>91</v>
      </c>
      <c r="G46" s="7" t="s">
        <v>5</v>
      </c>
      <c r="H46" s="8" t="s">
        <v>6</v>
      </c>
      <c r="I46" s="7" t="s">
        <v>7</v>
      </c>
      <c r="J46" s="7" t="s">
        <v>8</v>
      </c>
      <c r="K46" s="6" t="s">
        <v>9</v>
      </c>
      <c r="L46" s="20" t="s">
        <v>10</v>
      </c>
      <c r="M46" s="21" t="s">
        <v>11</v>
      </c>
    </row>
    <row r="47" ht="99" customHeight="1" spans="1:13">
      <c r="A47"/>
      <c r="B47" s="16" t="s">
        <v>127</v>
      </c>
      <c r="C47" s="18" t="s">
        <v>128</v>
      </c>
      <c r="D47" s="10" t="s">
        <v>77</v>
      </c>
      <c r="E47" s="10" t="s">
        <v>15</v>
      </c>
      <c r="F47" s="11" t="s">
        <v>31</v>
      </c>
      <c r="G47" s="12" t="s">
        <v>129</v>
      </c>
      <c r="H47" s="13" t="s">
        <v>27</v>
      </c>
      <c r="I47" s="23" t="s">
        <v>56</v>
      </c>
      <c r="J47" s="30" t="s">
        <v>130</v>
      </c>
      <c r="K47" s="31" t="s">
        <v>131</v>
      </c>
      <c r="L47" s="10" t="s">
        <v>22</v>
      </c>
      <c r="M47" s="29">
        <f>IF(AND(R5&lt;=60,R6&lt;=60,R7&lt;=150,R4&lt;=5,R8&lt;18000,(R5+R6+R7)&lt;=250),22.88+36.4*R4,"不符合运输标准")</f>
        <v>31.252</v>
      </c>
    </row>
    <row r="48" ht="99" customHeight="1" spans="1:13">
      <c r="A48"/>
      <c r="B48" s="16" t="s">
        <v>132</v>
      </c>
      <c r="C48" s="18" t="s">
        <v>133</v>
      </c>
      <c r="D48" s="10" t="s">
        <v>77</v>
      </c>
      <c r="E48" s="10" t="s">
        <v>15</v>
      </c>
      <c r="F48" s="11" t="s">
        <v>83</v>
      </c>
      <c r="G48" s="12" t="s">
        <v>134</v>
      </c>
      <c r="H48" s="13" t="s">
        <v>27</v>
      </c>
      <c r="I48" s="23" t="s">
        <v>56</v>
      </c>
      <c r="J48" s="30" t="s">
        <v>130</v>
      </c>
      <c r="K48" s="31" t="s">
        <v>131</v>
      </c>
      <c r="L48" s="10" t="s">
        <v>22</v>
      </c>
      <c r="M48" s="29">
        <f>IF(AND(R5&lt;=60,R6&lt;=60,R7&lt;=150,R4&lt;=5,R8&lt;18000,(R5+R6+R7)&lt;=250),22.88+26*R4,"不符合运输标准")</f>
        <v>28.86</v>
      </c>
    </row>
    <row r="49" ht="49.5" customHeight="1" spans="1:13">
      <c r="A49"/>
      <c r="B49" s="6" t="s">
        <v>0</v>
      </c>
      <c r="C49" s="6" t="s">
        <v>1</v>
      </c>
      <c r="D49" s="6" t="s">
        <v>2</v>
      </c>
      <c r="E49" s="7" t="s">
        <v>3</v>
      </c>
      <c r="F49" s="7" t="s">
        <v>74</v>
      </c>
      <c r="G49" s="7" t="s">
        <v>5</v>
      </c>
      <c r="H49" s="8" t="s">
        <v>6</v>
      </c>
      <c r="I49" s="7" t="s">
        <v>7</v>
      </c>
      <c r="J49" s="7" t="s">
        <v>8</v>
      </c>
      <c r="K49" s="6" t="s">
        <v>9</v>
      </c>
      <c r="L49" s="20" t="s">
        <v>10</v>
      </c>
      <c r="M49" s="21" t="s">
        <v>11</v>
      </c>
    </row>
    <row r="50" ht="102" customHeight="1" spans="1:13">
      <c r="A50"/>
      <c r="B50" s="16" t="s">
        <v>135</v>
      </c>
      <c r="C50" s="18" t="s">
        <v>136</v>
      </c>
      <c r="D50" s="10" t="s">
        <v>77</v>
      </c>
      <c r="E50" s="10" t="s">
        <v>15</v>
      </c>
      <c r="F50" s="11" t="s">
        <v>25</v>
      </c>
      <c r="G50" s="12" t="s">
        <v>129</v>
      </c>
      <c r="H50" s="13" t="s">
        <v>27</v>
      </c>
      <c r="I50" s="23" t="s">
        <v>56</v>
      </c>
      <c r="J50" s="30" t="s">
        <v>130</v>
      </c>
      <c r="K50" s="31" t="s">
        <v>131</v>
      </c>
      <c r="L50" s="10" t="s">
        <v>22</v>
      </c>
      <c r="M50" s="29">
        <f>IF(AND(R5&lt;=60,R6&lt;=60,R7&lt;=150,R4&lt;=5,R8&lt;18000,(R5+R6+R7)&lt;=250),22.88+36.4*R4,"不符合运输标准")</f>
        <v>31.252</v>
      </c>
    </row>
    <row r="51" ht="102" customHeight="1" spans="1:13">
      <c r="A51"/>
      <c r="B51" s="19" t="s">
        <v>137</v>
      </c>
      <c r="C51" s="18" t="s">
        <v>138</v>
      </c>
      <c r="D51" s="10" t="s">
        <v>77</v>
      </c>
      <c r="E51" s="10" t="s">
        <v>15</v>
      </c>
      <c r="F51" s="11" t="s">
        <v>90</v>
      </c>
      <c r="G51" s="12" t="s">
        <v>134</v>
      </c>
      <c r="H51" s="13" t="s">
        <v>27</v>
      </c>
      <c r="I51" s="23" t="s">
        <v>56</v>
      </c>
      <c r="J51" s="30" t="s">
        <v>130</v>
      </c>
      <c r="K51" s="31" t="s">
        <v>131</v>
      </c>
      <c r="L51" s="10" t="s">
        <v>22</v>
      </c>
      <c r="M51" s="29">
        <f>IF(AND(R5&lt;=60,R6&lt;=60,R7&lt;=150,R4&lt;=5,R8&lt;18000,(R5+R6+R7)&lt;=250),22.88+26*R4,"不符合运输标准")</f>
        <v>28.86</v>
      </c>
    </row>
    <row r="52" ht="49.5" customHeight="1" spans="1:13">
      <c r="A52"/>
      <c r="B52" s="6" t="s">
        <v>0</v>
      </c>
      <c r="C52" s="6" t="s">
        <v>1</v>
      </c>
      <c r="D52" s="6" t="s">
        <v>2</v>
      </c>
      <c r="E52" s="7" t="s">
        <v>3</v>
      </c>
      <c r="F52" s="7" t="s">
        <v>91</v>
      </c>
      <c r="G52" s="7" t="s">
        <v>5</v>
      </c>
      <c r="H52" s="8" t="s">
        <v>6</v>
      </c>
      <c r="I52" s="7" t="s">
        <v>7</v>
      </c>
      <c r="J52" s="7" t="s">
        <v>8</v>
      </c>
      <c r="K52" s="6" t="s">
        <v>9</v>
      </c>
      <c r="L52" s="20" t="s">
        <v>10</v>
      </c>
      <c r="M52" s="21" t="s">
        <v>11</v>
      </c>
    </row>
    <row r="53" ht="92.1" customHeight="1" spans="1:13">
      <c r="A53"/>
      <c r="B53" s="16" t="s">
        <v>139</v>
      </c>
      <c r="C53" s="18" t="s">
        <v>140</v>
      </c>
      <c r="D53" s="10" t="s">
        <v>77</v>
      </c>
      <c r="E53" s="10" t="s">
        <v>15</v>
      </c>
      <c r="F53" s="11" t="s">
        <v>31</v>
      </c>
      <c r="G53" s="12" t="s">
        <v>141</v>
      </c>
      <c r="H53" s="13" t="s">
        <v>27</v>
      </c>
      <c r="I53" s="23" t="s">
        <v>142</v>
      </c>
      <c r="J53" s="30" t="s">
        <v>130</v>
      </c>
      <c r="K53" s="31" t="s">
        <v>143</v>
      </c>
      <c r="L53" s="10" t="s">
        <v>22</v>
      </c>
      <c r="M53" s="29" t="str">
        <f>IF(AND(R5&lt;=150,R6&lt;=150,R7&lt;=150,R4&gt;=5,R4&lt;=35,R8&lt;18000,(R5+R6+R7)&lt;=310),64.48+29.12*R4,"不符合运输标准")</f>
        <v>不符合运输标准</v>
      </c>
    </row>
    <row r="54" ht="92.1" customHeight="1" spans="1:18">
      <c r="A54"/>
      <c r="B54" s="19" t="s">
        <v>144</v>
      </c>
      <c r="C54" s="18" t="s">
        <v>145</v>
      </c>
      <c r="D54" s="10" t="s">
        <v>77</v>
      </c>
      <c r="E54" s="10" t="s">
        <v>15</v>
      </c>
      <c r="F54" s="11" t="s">
        <v>83</v>
      </c>
      <c r="G54" s="12" t="s">
        <v>146</v>
      </c>
      <c r="H54" s="13" t="s">
        <v>27</v>
      </c>
      <c r="I54" s="23" t="s">
        <v>142</v>
      </c>
      <c r="J54" s="30" t="s">
        <v>130</v>
      </c>
      <c r="K54" s="31" t="s">
        <v>143</v>
      </c>
      <c r="L54" s="10" t="s">
        <v>22</v>
      </c>
      <c r="M54" s="29" t="str">
        <f>IF(AND(R5&lt;=60,R6&lt;=60,R7&lt;=150,R4&gt;=5,R4&lt;=35,R8&lt;18000,(R5+R6+R7)&lt;=250),64.48+23.92*R4,"不符合运输标准")</f>
        <v>不符合运输标准</v>
      </c>
      <c r="R54" s="39"/>
    </row>
    <row r="55" ht="49.5" customHeight="1" spans="1:13">
      <c r="A55"/>
      <c r="B55" s="6" t="s">
        <v>0</v>
      </c>
      <c r="C55" s="6" t="s">
        <v>1</v>
      </c>
      <c r="D55" s="6" t="s">
        <v>2</v>
      </c>
      <c r="E55" s="7" t="s">
        <v>3</v>
      </c>
      <c r="F55" s="7" t="s">
        <v>74</v>
      </c>
      <c r="G55" s="7" t="s">
        <v>5</v>
      </c>
      <c r="H55" s="8" t="s">
        <v>6</v>
      </c>
      <c r="I55" s="7" t="s">
        <v>7</v>
      </c>
      <c r="J55" s="7" t="s">
        <v>8</v>
      </c>
      <c r="K55" s="6" t="s">
        <v>9</v>
      </c>
      <c r="L55" s="20" t="s">
        <v>10</v>
      </c>
      <c r="M55" s="21" t="s">
        <v>11</v>
      </c>
    </row>
    <row r="56" ht="81.95" customHeight="1" spans="1:13">
      <c r="A56"/>
      <c r="B56" s="16" t="s">
        <v>147</v>
      </c>
      <c r="C56" s="18" t="s">
        <v>148</v>
      </c>
      <c r="D56" s="10" t="s">
        <v>77</v>
      </c>
      <c r="E56" s="10" t="s">
        <v>15</v>
      </c>
      <c r="F56" s="11" t="s">
        <v>25</v>
      </c>
      <c r="G56" s="12" t="s">
        <v>141</v>
      </c>
      <c r="H56" s="13" t="s">
        <v>27</v>
      </c>
      <c r="I56" s="23" t="s">
        <v>142</v>
      </c>
      <c r="J56" s="30" t="s">
        <v>130</v>
      </c>
      <c r="K56" s="31" t="s">
        <v>143</v>
      </c>
      <c r="L56" s="10" t="s">
        <v>22</v>
      </c>
      <c r="M56" s="29" t="str">
        <f>IF(AND(R5&lt;=150,R6&lt;=150,R7&lt;=150,R4&gt;=5,R4&lt;=35,R8&lt;18000,(R5+R6+R7)&lt;=310),64.48+29.12*R4,"不符合运输标准")</f>
        <v>不符合运输标准</v>
      </c>
    </row>
    <row r="57" ht="81.95" customHeight="1" spans="1:13">
      <c r="A57"/>
      <c r="B57" s="16" t="s">
        <v>149</v>
      </c>
      <c r="C57" s="18" t="s">
        <v>149</v>
      </c>
      <c r="D57" s="10" t="s">
        <v>77</v>
      </c>
      <c r="E57" s="10" t="s">
        <v>15</v>
      </c>
      <c r="F57" s="11" t="s">
        <v>90</v>
      </c>
      <c r="G57" s="12" t="s">
        <v>146</v>
      </c>
      <c r="H57" s="13" t="s">
        <v>27</v>
      </c>
      <c r="I57" s="23" t="s">
        <v>142</v>
      </c>
      <c r="J57" s="30" t="s">
        <v>130</v>
      </c>
      <c r="K57" s="31" t="s">
        <v>143</v>
      </c>
      <c r="L57" s="10" t="s">
        <v>22</v>
      </c>
      <c r="M57" s="29" t="str">
        <f>IF(AND(R5&lt;=60,R6&lt;=60,R7&lt;=150,R4&gt;=5,R4&lt;=35,R8&lt;18000,(R5+R6+R7)&lt;=250),64.48+23.92*R4,"不符合运输标准")</f>
        <v>不符合运输标准</v>
      </c>
    </row>
    <row r="58" ht="50" customHeight="1" spans="1:13">
      <c r="A58"/>
      <c r="B58" s="6" t="s">
        <v>0</v>
      </c>
      <c r="C58" s="6" t="s">
        <v>1</v>
      </c>
      <c r="D58" s="6" t="s">
        <v>2</v>
      </c>
      <c r="E58" s="7" t="s">
        <v>3</v>
      </c>
      <c r="F58" s="7" t="s">
        <v>150</v>
      </c>
      <c r="G58" s="7" t="s">
        <v>5</v>
      </c>
      <c r="H58" s="8" t="s">
        <v>6</v>
      </c>
      <c r="I58" s="7" t="s">
        <v>7</v>
      </c>
      <c r="J58" s="7" t="s">
        <v>8</v>
      </c>
      <c r="K58" s="6" t="s">
        <v>9</v>
      </c>
      <c r="L58" s="20" t="s">
        <v>10</v>
      </c>
      <c r="M58" s="21" t="s">
        <v>11</v>
      </c>
    </row>
    <row r="59" ht="87" spans="1:13">
      <c r="A59"/>
      <c r="B59" s="16" t="s">
        <v>151</v>
      </c>
      <c r="C59" s="18" t="s">
        <v>151</v>
      </c>
      <c r="D59" s="18" t="s">
        <v>77</v>
      </c>
      <c r="E59" s="10" t="s">
        <v>15</v>
      </c>
      <c r="F59" s="11" t="s">
        <v>152</v>
      </c>
      <c r="G59" s="12" t="s">
        <v>84</v>
      </c>
      <c r="H59" s="13" t="s">
        <v>27</v>
      </c>
      <c r="I59" s="23" t="s">
        <v>19</v>
      </c>
      <c r="J59" s="30" t="s">
        <v>79</v>
      </c>
      <c r="K59" s="31" t="s">
        <v>153</v>
      </c>
      <c r="L59" s="10" t="s">
        <v>22</v>
      </c>
      <c r="M59" s="29">
        <f>IF(AND(R5&lt;=60,R6&lt;=60,R7&lt;=60,R4&lt;=0.5,(R5+R6+R7)&lt;=90),3.12+26*R4,"不符合运输标准")</f>
        <v>9.1</v>
      </c>
    </row>
    <row r="60" customFormat="1" ht="49.5" spans="2:13">
      <c r="B60" s="6" t="s">
        <v>0</v>
      </c>
      <c r="C60" s="6" t="s">
        <v>1</v>
      </c>
      <c r="D60" s="6" t="s">
        <v>2</v>
      </c>
      <c r="E60" s="7" t="s">
        <v>3</v>
      </c>
      <c r="F60" s="7" t="s">
        <v>150</v>
      </c>
      <c r="G60" s="7" t="s">
        <v>5</v>
      </c>
      <c r="H60" s="8" t="s">
        <v>6</v>
      </c>
      <c r="I60" s="7" t="s">
        <v>7</v>
      </c>
      <c r="J60" s="7" t="s">
        <v>8</v>
      </c>
      <c r="K60" s="6" t="s">
        <v>9</v>
      </c>
      <c r="L60" s="20" t="s">
        <v>10</v>
      </c>
      <c r="M60" s="21" t="s">
        <v>11</v>
      </c>
    </row>
    <row r="61" s="1" customFormat="1" ht="81.95" customHeight="1" spans="2:13">
      <c r="B61" s="16" t="s">
        <v>154</v>
      </c>
      <c r="C61" s="18" t="s">
        <v>154</v>
      </c>
      <c r="D61" s="18" t="s">
        <v>77</v>
      </c>
      <c r="E61" s="10" t="s">
        <v>15</v>
      </c>
      <c r="F61" s="11" t="s">
        <v>152</v>
      </c>
      <c r="G61" s="12" t="s">
        <v>99</v>
      </c>
      <c r="H61" s="13" t="s">
        <v>27</v>
      </c>
      <c r="I61" s="23" t="s">
        <v>49</v>
      </c>
      <c r="J61" s="30" t="s">
        <v>79</v>
      </c>
      <c r="K61" s="31" t="s">
        <v>155</v>
      </c>
      <c r="L61" s="10" t="s">
        <v>22</v>
      </c>
      <c r="M61" s="29" t="str">
        <f>IF(AND(R5&lt;=60,R6&lt;=60,R7&lt;=60,R4&gt;=0.5,R4&lt;=30,(R5+R6+R7)&lt;=150),23.92+17.68*R4,"不符合运输标准")</f>
        <v>不符合运输标准</v>
      </c>
    </row>
    <row r="62" customFormat="1" ht="49.5" spans="2:13">
      <c r="B62" s="6" t="s">
        <v>0</v>
      </c>
      <c r="C62" s="6" t="s">
        <v>1</v>
      </c>
      <c r="D62" s="6" t="s">
        <v>2</v>
      </c>
      <c r="E62" s="7" t="s">
        <v>3</v>
      </c>
      <c r="F62" s="7" t="s">
        <v>150</v>
      </c>
      <c r="G62" s="7" t="s">
        <v>5</v>
      </c>
      <c r="H62" s="8" t="s">
        <v>6</v>
      </c>
      <c r="I62" s="7" t="s">
        <v>7</v>
      </c>
      <c r="J62" s="7" t="s">
        <v>8</v>
      </c>
      <c r="K62" s="6" t="s">
        <v>9</v>
      </c>
      <c r="L62" s="20" t="s">
        <v>10</v>
      </c>
      <c r="M62" s="21" t="s">
        <v>11</v>
      </c>
    </row>
    <row r="63" customFormat="1" ht="70" customHeight="1" spans="2:13">
      <c r="B63" s="16" t="s">
        <v>156</v>
      </c>
      <c r="C63" s="16" t="s">
        <v>156</v>
      </c>
      <c r="D63" s="18" t="s">
        <v>77</v>
      </c>
      <c r="E63" s="10" t="s">
        <v>15</v>
      </c>
      <c r="F63" s="11" t="s">
        <v>152</v>
      </c>
      <c r="G63" s="12" t="s">
        <v>110</v>
      </c>
      <c r="H63" s="13" t="s">
        <v>27</v>
      </c>
      <c r="I63" s="23" t="s">
        <v>38</v>
      </c>
      <c r="J63" s="30" t="s">
        <v>67</v>
      </c>
      <c r="K63" s="31" t="s">
        <v>157</v>
      </c>
      <c r="L63" s="10" t="s">
        <v>22</v>
      </c>
      <c r="M63" s="29">
        <f>IF(AND(R5&lt;=60,R6&lt;=60,R7&lt;=60,R4&lt;=2,(R5+R6+R7)&lt;=150),16.64+26*R4,"不符合运输标准")</f>
        <v>22.62</v>
      </c>
    </row>
    <row r="64" customFormat="1" ht="49.5" spans="2:13">
      <c r="B64" s="6" t="s">
        <v>0</v>
      </c>
      <c r="C64" s="6" t="s">
        <v>1</v>
      </c>
      <c r="D64" s="6" t="s">
        <v>2</v>
      </c>
      <c r="E64" s="7" t="s">
        <v>3</v>
      </c>
      <c r="F64" s="7" t="s">
        <v>150</v>
      </c>
      <c r="G64" s="7" t="s">
        <v>5</v>
      </c>
      <c r="H64" s="8" t="s">
        <v>6</v>
      </c>
      <c r="I64" s="7" t="s">
        <v>7</v>
      </c>
      <c r="J64" s="7" t="s">
        <v>8</v>
      </c>
      <c r="K64" s="6" t="s">
        <v>9</v>
      </c>
      <c r="L64" s="20" t="s">
        <v>10</v>
      </c>
      <c r="M64" s="21" t="s">
        <v>11</v>
      </c>
    </row>
    <row r="65" customFormat="1" ht="72.5" spans="2:13">
      <c r="B65" s="16" t="s">
        <v>158</v>
      </c>
      <c r="C65" s="16" t="s">
        <v>158</v>
      </c>
      <c r="D65" s="18" t="s">
        <v>77</v>
      </c>
      <c r="E65" s="10" t="s">
        <v>15</v>
      </c>
      <c r="F65" s="11" t="s">
        <v>152</v>
      </c>
      <c r="G65" s="12" t="s">
        <v>122</v>
      </c>
      <c r="H65" s="13" t="s">
        <v>27</v>
      </c>
      <c r="I65" s="23" t="s">
        <v>66</v>
      </c>
      <c r="J65" s="30" t="s">
        <v>67</v>
      </c>
      <c r="K65" s="31" t="s">
        <v>159</v>
      </c>
      <c r="L65" s="10" t="s">
        <v>22</v>
      </c>
      <c r="M65" s="29" t="str">
        <f>IF(AND(R13&lt;=60,R14&lt;=60,R15&lt;=150,R12&gt;=5,R12&lt;=35,R16&lt;18000,(R13+R14+R15)&lt;=250),37.44+17.68*R12,"不符合运输标准")</f>
        <v>不符合运输标准</v>
      </c>
    </row>
    <row r="66" customFormat="1" ht="49.5" spans="2:13">
      <c r="B66" s="6" t="s">
        <v>0</v>
      </c>
      <c r="C66" s="6" t="s">
        <v>1</v>
      </c>
      <c r="D66" s="6" t="s">
        <v>2</v>
      </c>
      <c r="E66" s="7" t="s">
        <v>3</v>
      </c>
      <c r="F66" s="7" t="s">
        <v>150</v>
      </c>
      <c r="G66" s="7" t="s">
        <v>5</v>
      </c>
      <c r="H66" s="8" t="s">
        <v>6</v>
      </c>
      <c r="I66" s="7" t="s">
        <v>7</v>
      </c>
      <c r="J66" s="7" t="s">
        <v>8</v>
      </c>
      <c r="K66" s="6" t="s">
        <v>9</v>
      </c>
      <c r="L66" s="20" t="s">
        <v>10</v>
      </c>
      <c r="M66" s="21" t="s">
        <v>11</v>
      </c>
    </row>
    <row r="67" customFormat="1" ht="72.5" spans="2:13">
      <c r="B67" s="16" t="s">
        <v>160</v>
      </c>
      <c r="C67" s="16" t="s">
        <v>160</v>
      </c>
      <c r="D67" s="18" t="s">
        <v>77</v>
      </c>
      <c r="E67" s="10" t="s">
        <v>15</v>
      </c>
      <c r="F67" s="11" t="s">
        <v>152</v>
      </c>
      <c r="G67" s="12" t="s">
        <v>134</v>
      </c>
      <c r="H67" s="13" t="s">
        <v>27</v>
      </c>
      <c r="I67" s="23" t="s">
        <v>56</v>
      </c>
      <c r="J67" s="30" t="s">
        <v>161</v>
      </c>
      <c r="K67" s="31" t="s">
        <v>162</v>
      </c>
      <c r="L67" s="10" t="s">
        <v>22</v>
      </c>
      <c r="M67" s="29">
        <f>IF(AND(R5&lt;=150,R6&lt;=150,R7&lt;=150,R4&lt;=5,(R5+R6+R7)&lt;=250,R8&gt;7000),22.88+26*R4,"不符合运输标准")</f>
        <v>28.86</v>
      </c>
    </row>
    <row r="68" customFormat="1" ht="49.5" spans="2:13">
      <c r="B68" s="6" t="s">
        <v>0</v>
      </c>
      <c r="C68" s="6" t="s">
        <v>1</v>
      </c>
      <c r="D68" s="6" t="s">
        <v>2</v>
      </c>
      <c r="E68" s="7" t="s">
        <v>3</v>
      </c>
      <c r="F68" s="7" t="s">
        <v>150</v>
      </c>
      <c r="G68" s="7" t="s">
        <v>5</v>
      </c>
      <c r="H68" s="8" t="s">
        <v>6</v>
      </c>
      <c r="I68" s="7" t="s">
        <v>7</v>
      </c>
      <c r="J68" s="7" t="s">
        <v>8</v>
      </c>
      <c r="K68" s="6" t="s">
        <v>9</v>
      </c>
      <c r="L68" s="20" t="s">
        <v>10</v>
      </c>
      <c r="M68" s="21" t="s">
        <v>11</v>
      </c>
    </row>
    <row r="69" customFormat="1" ht="72.5" spans="2:13">
      <c r="B69" s="16" t="s">
        <v>163</v>
      </c>
      <c r="C69" s="16" t="s">
        <v>163</v>
      </c>
      <c r="D69" s="18" t="s">
        <v>77</v>
      </c>
      <c r="E69" s="10" t="s">
        <v>15</v>
      </c>
      <c r="F69" s="11" t="s">
        <v>152</v>
      </c>
      <c r="G69" s="12" t="s">
        <v>164</v>
      </c>
      <c r="H69" s="13" t="s">
        <v>27</v>
      </c>
      <c r="I69" s="23" t="s">
        <v>72</v>
      </c>
      <c r="J69" s="30" t="s">
        <v>161</v>
      </c>
      <c r="K69" s="31" t="s">
        <v>165</v>
      </c>
      <c r="L69" s="10" t="s">
        <v>22</v>
      </c>
      <c r="M69" s="29" t="str">
        <f>IF(AND(R5&lt;=150,R6&lt;=150,R7&lt;=150,R4&gt;=5,R4&lt;=30,(R5+R6+R7)&lt;=310,R8&gt;7000),62.48+23.92*R4,"不符合运输标准")</f>
        <v>不符合运输标准</v>
      </c>
    </row>
    <row r="70" customFormat="1" ht="16.5" spans="2:13">
      <c r="B70" s="6"/>
      <c r="C70" s="6"/>
      <c r="D70" s="6"/>
      <c r="E70" s="7"/>
      <c r="F70" s="7"/>
      <c r="G70" s="7"/>
      <c r="H70" s="8"/>
      <c r="I70" s="7"/>
      <c r="J70" s="7"/>
      <c r="K70" s="6"/>
      <c r="L70" s="20"/>
      <c r="M70" s="21"/>
    </row>
    <row r="71" customFormat="1" ht="16.5" spans="2:13">
      <c r="B71" s="6"/>
      <c r="C71" s="6"/>
      <c r="D71" s="6"/>
      <c r="E71" s="7"/>
      <c r="F71" s="7"/>
      <c r="G71" s="7"/>
      <c r="H71" s="8"/>
      <c r="I71" s="7"/>
      <c r="J71" s="7"/>
      <c r="K71" s="6"/>
      <c r="L71" s="20"/>
      <c r="M71" s="21"/>
    </row>
    <row r="72" ht="49.5" spans="1:13">
      <c r="A72"/>
      <c r="B72" s="6" t="s">
        <v>0</v>
      </c>
      <c r="C72" s="6" t="s">
        <v>1</v>
      </c>
      <c r="D72" s="6" t="s">
        <v>2</v>
      </c>
      <c r="E72" s="7" t="s">
        <v>3</v>
      </c>
      <c r="F72" s="7" t="s">
        <v>4</v>
      </c>
      <c r="G72" s="7" t="s">
        <v>5</v>
      </c>
      <c r="H72" s="8" t="s">
        <v>6</v>
      </c>
      <c r="I72" s="7" t="s">
        <v>7</v>
      </c>
      <c r="J72" s="7" t="s">
        <v>8</v>
      </c>
      <c r="K72" s="6" t="s">
        <v>9</v>
      </c>
      <c r="L72" s="20" t="s">
        <v>10</v>
      </c>
      <c r="M72" s="21" t="s">
        <v>11</v>
      </c>
    </row>
    <row r="73" ht="104.1" customHeight="1" spans="1:13">
      <c r="A73"/>
      <c r="B73" s="16" t="s">
        <v>166</v>
      </c>
      <c r="C73" s="10" t="s">
        <v>167</v>
      </c>
      <c r="D73" s="10" t="s">
        <v>168</v>
      </c>
      <c r="E73" s="10" t="s">
        <v>15</v>
      </c>
      <c r="F73" s="10" t="s">
        <v>169</v>
      </c>
      <c r="G73" s="10" t="s">
        <v>170</v>
      </c>
      <c r="H73" s="40" t="s">
        <v>27</v>
      </c>
      <c r="I73" s="23" t="s">
        <v>56</v>
      </c>
      <c r="J73" s="30" t="s">
        <v>171</v>
      </c>
      <c r="K73" s="10" t="s">
        <v>172</v>
      </c>
      <c r="L73" s="10" t="s">
        <v>173</v>
      </c>
      <c r="M73" s="24">
        <f>IF(AND(R5&lt;=60,R6&lt;=60,R7&lt;=60,R4&lt;=5,(R5+R6+R7)&lt;=90),15+34.75*R4,"不符合运输标准")</f>
        <v>22.9925</v>
      </c>
    </row>
    <row r="74" ht="72.5" spans="1:13">
      <c r="A74"/>
      <c r="B74" s="16"/>
      <c r="C74" s="10" t="s">
        <v>174</v>
      </c>
      <c r="D74" s="10" t="s">
        <v>168</v>
      </c>
      <c r="E74" s="10" t="s">
        <v>15</v>
      </c>
      <c r="F74" s="10" t="s">
        <v>169</v>
      </c>
      <c r="G74" s="10" t="s">
        <v>175</v>
      </c>
      <c r="H74" s="40" t="s">
        <v>27</v>
      </c>
      <c r="I74" s="23" t="s">
        <v>176</v>
      </c>
      <c r="J74" s="30" t="s">
        <v>171</v>
      </c>
      <c r="K74" s="10" t="s">
        <v>177</v>
      </c>
      <c r="L74" s="10" t="s">
        <v>173</v>
      </c>
      <c r="M74" s="24">
        <f>IF(AND(R5&lt;=105,R6&lt;=105,R7&lt;=105,R4&lt;=20,(R7+R5+R6)&lt;=200),IF(S4&lt;=0.5,52.5,52.5+(S4-0.5)/0.5*15),"不符合运输标准")</f>
        <v>52.5</v>
      </c>
    </row>
    <row r="75" ht="58" spans="1:13">
      <c r="A75"/>
      <c r="B75" s="16"/>
      <c r="C75" s="10" t="s">
        <v>178</v>
      </c>
      <c r="D75" s="10" t="s">
        <v>168</v>
      </c>
      <c r="E75" s="10" t="s">
        <v>15</v>
      </c>
      <c r="F75" s="10" t="s">
        <v>169</v>
      </c>
      <c r="G75" s="10" t="s">
        <v>179</v>
      </c>
      <c r="H75" s="10" t="s">
        <v>27</v>
      </c>
      <c r="I75" s="23" t="s">
        <v>19</v>
      </c>
      <c r="J75" s="30" t="s">
        <v>20</v>
      </c>
      <c r="K75" s="10" t="s">
        <v>180</v>
      </c>
      <c r="L75" s="10" t="s">
        <v>173</v>
      </c>
      <c r="M75" s="24">
        <f>IF(AND(R5&lt;=60,R6&lt;=60,R7&lt;=60,R4&lt;=0.5,(R5+R6+R7)&lt;=90),1.9+26*R4,"不符合运输标准")</f>
        <v>7.88</v>
      </c>
    </row>
    <row r="76" ht="24.95" customHeight="1" spans="2:13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3"/>
    </row>
    <row r="77" ht="23.1" customHeight="1" spans="2:13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3"/>
    </row>
    <row r="78" ht="26.1" customHeight="1" spans="2:44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3"/>
      <c r="N78" s="44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="2" customFormat="1" ht="6" customHeight="1" spans="1:14">
      <c r="A79" s="4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"/>
    </row>
    <row r="80" s="2" customFormat="1" spans="1:14">
      <c r="A80" s="4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"/>
    </row>
    <row r="81" s="2" customFormat="1" spans="1:14">
      <c r="A81" s="4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"/>
    </row>
    <row r="82" s="2" customFormat="1" spans="1:14">
      <c r="A82" s="4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"/>
    </row>
    <row r="83" s="2" customFormat="1" spans="1:14">
      <c r="A83" s="4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"/>
    </row>
    <row r="84" s="2" customFormat="1" spans="1:14">
      <c r="A84" s="4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"/>
    </row>
    <row r="85" s="2" customFormat="1" spans="1:14">
      <c r="A85" s="4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"/>
    </row>
    <row r="86" s="2" customFormat="1" spans="1:14">
      <c r="A86" s="4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"/>
    </row>
    <row r="87" s="2" customFormat="1" spans="1:14">
      <c r="A87" s="4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"/>
    </row>
    <row r="88" s="2" customFormat="1" spans="1:14">
      <c r="A88" s="4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"/>
    </row>
    <row r="89" s="2" customFormat="1" spans="1:14">
      <c r="A89" s="4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"/>
    </row>
    <row r="90" s="2" customFormat="1" spans="1:14">
      <c r="A90" s="4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"/>
    </row>
    <row r="91" s="2" customFormat="1" spans="1:14">
      <c r="A91" s="4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"/>
    </row>
    <row r="92" s="2" customFormat="1" spans="1:14">
      <c r="A92" s="4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"/>
    </row>
    <row r="93" s="2" customFormat="1" spans="1:14">
      <c r="A93" s="4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</row>
    <row r="94" s="2" customFormat="1" spans="1:14">
      <c r="A94" s="4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</row>
    <row r="95" s="2" customFormat="1" spans="1:14">
      <c r="A95" s="4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</row>
    <row r="96" s="2" customFormat="1" spans="1:14">
      <c r="A96" s="4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"/>
    </row>
    <row r="97" s="2" customFormat="1" spans="1:14">
      <c r="A97" s="4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"/>
    </row>
    <row r="98" s="2" customFormat="1" spans="1:14">
      <c r="A98" s="4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"/>
    </row>
    <row r="99" s="2" customFormat="1" spans="1:14">
      <c r="A99" s="4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"/>
    </row>
    <row r="100" s="2" customFormat="1" spans="1:14">
      <c r="A100" s="4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</row>
    <row r="101" s="2" customFormat="1" spans="1:14">
      <c r="A101" s="4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</row>
    <row r="102" s="2" customFormat="1" spans="1:14">
      <c r="A102" s="4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"/>
    </row>
    <row r="103" s="2" customFormat="1" spans="1:14">
      <c r="A103" s="4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"/>
    </row>
    <row r="104" s="2" customFormat="1" spans="1:14">
      <c r="A104" s="4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"/>
    </row>
    <row r="105" s="2" customFormat="1" spans="1:14">
      <c r="A105" s="4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"/>
    </row>
    <row r="106" s="2" customFormat="1" spans="1:14">
      <c r="A106" s="4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"/>
    </row>
    <row r="107" s="2" customFormat="1" spans="1:14">
      <c r="A107" s="4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"/>
    </row>
    <row r="108" s="2" customFormat="1" spans="1:14">
      <c r="A108" s="4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"/>
    </row>
    <row r="109" s="2" customFormat="1" spans="1:14">
      <c r="A109" s="4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"/>
    </row>
    <row r="110" s="2" customFormat="1" spans="1:14">
      <c r="A110" s="4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"/>
    </row>
    <row r="111" s="2" customFormat="1" spans="1:14">
      <c r="A111" s="4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"/>
    </row>
    <row r="112" s="2" customFormat="1" spans="1:14">
      <c r="A112" s="4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"/>
    </row>
    <row r="113" s="2" customFormat="1" spans="1:14">
      <c r="A113" s="4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"/>
    </row>
    <row r="114" s="2" customFormat="1" spans="1:14">
      <c r="A114" s="4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"/>
    </row>
    <row r="115" s="2" customFormat="1" spans="1:14">
      <c r="A115" s="4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"/>
    </row>
    <row r="116" s="2" customFormat="1" spans="1:14">
      <c r="A116" s="4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"/>
    </row>
    <row r="117" s="2" customFormat="1" spans="1:14">
      <c r="A117" s="4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"/>
    </row>
    <row r="118" s="2" customFormat="1" spans="1:14">
      <c r="A118" s="4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"/>
    </row>
    <row r="119" s="2" customFormat="1" spans="1:14">
      <c r="A119" s="4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"/>
    </row>
    <row r="120" s="2" customFormat="1" spans="1:14">
      <c r="A120" s="4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"/>
    </row>
    <row r="121" s="2" customFormat="1" spans="1:14">
      <c r="A121" s="4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"/>
    </row>
    <row r="122" s="2" customFormat="1" spans="1:14">
      <c r="A122" s="4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"/>
    </row>
    <row r="123" s="2" customFormat="1" spans="1:14">
      <c r="A123" s="4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"/>
    </row>
    <row r="124" s="2" customFormat="1" spans="1:14">
      <c r="A124" s="4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"/>
    </row>
    <row r="125" s="2" customFormat="1" spans="1:14">
      <c r="A125" s="4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"/>
    </row>
    <row r="126" s="2" customFormat="1" spans="1:14">
      <c r="A126" s="4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"/>
    </row>
    <row r="127" s="2" customFormat="1" spans="1:14">
      <c r="A127" s="4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"/>
    </row>
    <row r="128" s="2" customFormat="1" spans="1:14">
      <c r="A128" s="4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"/>
    </row>
    <row r="129" s="2" customFormat="1" spans="1:14">
      <c r="A129" s="4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"/>
    </row>
    <row r="130" s="2" customFormat="1" spans="1:14">
      <c r="A130" s="4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"/>
    </row>
    <row r="131" s="2" customFormat="1" spans="1:14">
      <c r="A131" s="4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"/>
    </row>
    <row r="132" s="2" customFormat="1" spans="1:14">
      <c r="A132" s="4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"/>
    </row>
    <row r="133" s="2" customFormat="1" spans="1:14">
      <c r="A133" s="4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"/>
    </row>
    <row r="134" s="2" customFormat="1" spans="1:14">
      <c r="A134" s="4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"/>
    </row>
    <row r="135" s="2" customFormat="1" spans="1:14">
      <c r="A135" s="4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"/>
    </row>
    <row r="136" s="2" customFormat="1" spans="1:14">
      <c r="A136" s="4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"/>
    </row>
    <row r="137" s="2" customFormat="1" spans="1:14">
      <c r="A137" s="4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"/>
    </row>
    <row r="138" s="2" customFormat="1" spans="1:14">
      <c r="A138" s="4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"/>
    </row>
    <row r="139" s="2" customFormat="1" spans="1:14">
      <c r="A139" s="4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"/>
    </row>
    <row r="140" s="2" customFormat="1" spans="1:14">
      <c r="A140" s="4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"/>
    </row>
    <row r="141" s="2" customFormat="1" spans="1:14">
      <c r="A141" s="4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"/>
    </row>
    <row r="142" s="2" customFormat="1" spans="1:14">
      <c r="A142" s="4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"/>
    </row>
    <row r="143" s="2" customFormat="1" spans="1:14">
      <c r="A143" s="4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"/>
    </row>
    <row r="144" s="2" customFormat="1" spans="1:14">
      <c r="A144" s="4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"/>
    </row>
    <row r="145" s="2" customFormat="1" spans="1:14">
      <c r="A145" s="4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"/>
    </row>
    <row r="146" s="2" customFormat="1" spans="1:14">
      <c r="A146" s="4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"/>
    </row>
    <row r="147" s="2" customFormat="1" spans="1:14">
      <c r="A147" s="4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"/>
    </row>
    <row r="148" s="2" customFormat="1" spans="1:14">
      <c r="A148" s="4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"/>
    </row>
    <row r="149" s="2" customFormat="1" spans="1:14">
      <c r="A149" s="4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"/>
    </row>
    <row r="150" s="2" customFormat="1" spans="1:14">
      <c r="A150" s="4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"/>
    </row>
    <row r="151" s="2" customFormat="1" spans="1:14">
      <c r="A151" s="4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"/>
    </row>
    <row r="152" s="2" customFormat="1" spans="1:14">
      <c r="A152" s="4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"/>
    </row>
    <row r="153" s="2" customFormat="1" spans="1:14">
      <c r="A153" s="4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"/>
    </row>
    <row r="154" s="2" customFormat="1" spans="1:14">
      <c r="A154" s="4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"/>
    </row>
    <row r="155" s="2" customFormat="1" spans="1:14">
      <c r="A155" s="4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"/>
    </row>
    <row r="156" s="2" customFormat="1" spans="1:14">
      <c r="A156" s="4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"/>
    </row>
    <row r="157" s="2" customFormat="1" spans="1:14">
      <c r="A157" s="4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"/>
    </row>
    <row r="158" s="2" customFormat="1" spans="1:14">
      <c r="A158" s="4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"/>
    </row>
    <row r="159" s="2" customFormat="1" spans="1:14">
      <c r="A159" s="4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"/>
    </row>
    <row r="160" s="2" customFormat="1" spans="1:14">
      <c r="A160" s="4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"/>
    </row>
    <row r="161" s="2" customFormat="1" spans="1:14">
      <c r="A161" s="4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"/>
    </row>
    <row r="162" s="2" customFormat="1" spans="1:14">
      <c r="A162" s="4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"/>
    </row>
    <row r="163" s="2" customFormat="1" spans="1:14">
      <c r="A163" s="4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"/>
    </row>
    <row r="164" s="2" customFormat="1" spans="1:14">
      <c r="A164" s="4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"/>
    </row>
    <row r="165" s="2" customFormat="1" spans="1:14">
      <c r="A165" s="4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"/>
    </row>
    <row r="166" s="2" customFormat="1" spans="1:14">
      <c r="A166" s="4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"/>
    </row>
    <row r="167" s="2" customFormat="1" spans="1:14">
      <c r="A167" s="4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"/>
    </row>
    <row r="168" s="2" customFormat="1" spans="1:14">
      <c r="A168" s="4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"/>
    </row>
    <row r="169" s="2" customFormat="1" spans="1:14">
      <c r="A169" s="4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"/>
    </row>
    <row r="170" s="2" customFormat="1" spans="1:14">
      <c r="A170" s="4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"/>
    </row>
    <row r="171" s="2" customFormat="1" spans="1:14">
      <c r="A171" s="4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"/>
    </row>
    <row r="172" s="2" customFormat="1" spans="1:14">
      <c r="A172" s="4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"/>
    </row>
    <row r="173" s="2" customFormat="1" spans="1:14">
      <c r="A173" s="4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"/>
    </row>
    <row r="174" s="2" customFormat="1" spans="1:14">
      <c r="A174" s="4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"/>
    </row>
    <row r="175" s="2" customFormat="1" spans="1:14">
      <c r="A175" s="4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"/>
    </row>
    <row r="176" s="2" customFormat="1" spans="1:14">
      <c r="A176" s="4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"/>
    </row>
    <row r="177" s="2" customFormat="1" spans="1:14">
      <c r="A177" s="4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"/>
    </row>
    <row r="178" s="2" customFormat="1" spans="1:14">
      <c r="A178" s="4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"/>
    </row>
    <row r="179" s="2" customFormat="1" spans="1:14">
      <c r="A179" s="4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"/>
    </row>
    <row r="180" s="2" customFormat="1" spans="1:14">
      <c r="A180" s="4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"/>
    </row>
    <row r="181" s="2" customFormat="1" spans="1:14">
      <c r="A181" s="4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"/>
    </row>
    <row r="182" s="2" customFormat="1" spans="1:14">
      <c r="A182" s="4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"/>
    </row>
    <row r="183" s="2" customFormat="1" spans="1:14">
      <c r="A183" s="4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"/>
    </row>
    <row r="184" s="2" customFormat="1" spans="1:14">
      <c r="A184" s="4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"/>
    </row>
    <row r="185" s="2" customFormat="1" spans="1:14">
      <c r="A185" s="4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"/>
    </row>
    <row r="186" s="2" customFormat="1" spans="1:14">
      <c r="A186" s="4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"/>
    </row>
    <row r="187" s="2" customFormat="1" spans="1:14">
      <c r="A187" s="4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"/>
    </row>
    <row r="188" s="2" customFormat="1" spans="1:14">
      <c r="A188" s="4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"/>
    </row>
    <row r="189" s="2" customFormat="1" spans="1:14">
      <c r="A189" s="4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"/>
    </row>
    <row r="190" s="2" customFormat="1" spans="1:14">
      <c r="A190" s="4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"/>
    </row>
    <row r="191" s="2" customFormat="1" spans="1:14">
      <c r="A191" s="4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"/>
    </row>
    <row r="192" s="2" customFormat="1" spans="1:14">
      <c r="A192" s="4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"/>
    </row>
    <row r="193" s="2" customFormat="1" spans="1:14">
      <c r="A193" s="4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"/>
    </row>
    <row r="194" s="2" customFormat="1" spans="1:14">
      <c r="A194" s="4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"/>
    </row>
    <row r="195" s="2" customFormat="1" spans="1:14">
      <c r="A195" s="4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"/>
    </row>
    <row r="196" s="2" customFormat="1" spans="1:14">
      <c r="A196" s="4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"/>
    </row>
    <row r="197" s="2" customFormat="1" spans="1:14">
      <c r="A197" s="4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"/>
    </row>
    <row r="198" s="2" customFormat="1" spans="1:14">
      <c r="A198" s="4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"/>
    </row>
    <row r="199" s="2" customFormat="1" spans="1:14">
      <c r="A199" s="4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"/>
    </row>
    <row r="200" s="2" customFormat="1" spans="1:14">
      <c r="A200" s="4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"/>
    </row>
    <row r="201" s="2" customFormat="1" spans="1:14">
      <c r="A201" s="4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"/>
    </row>
    <row r="202" s="2" customFormat="1" spans="1:14">
      <c r="A202" s="4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"/>
    </row>
    <row r="203" s="2" customFormat="1" spans="1:14">
      <c r="A203" s="4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"/>
    </row>
    <row r="204" s="2" customFormat="1" spans="1:14">
      <c r="A204" s="4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"/>
    </row>
    <row r="205" s="2" customFormat="1" spans="1:14">
      <c r="A205" s="4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"/>
    </row>
    <row r="206" s="2" customFormat="1" spans="1:14">
      <c r="A206" s="4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"/>
    </row>
    <row r="207" s="2" customFormat="1" spans="1:14">
      <c r="A207" s="4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"/>
    </row>
    <row r="208" s="2" customFormat="1" spans="1:14">
      <c r="A208" s="4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"/>
    </row>
    <row r="209" s="2" customFormat="1" spans="1:14">
      <c r="A209" s="4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"/>
    </row>
    <row r="210" s="2" customFormat="1" spans="1:14">
      <c r="A210" s="4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"/>
    </row>
    <row r="211" s="2" customFormat="1" spans="1:14">
      <c r="A211" s="4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"/>
    </row>
    <row r="212" s="2" customFormat="1" spans="1:14">
      <c r="A212" s="4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"/>
    </row>
    <row r="213" s="2" customFormat="1" spans="1:14">
      <c r="A213" s="4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"/>
    </row>
    <row r="214" s="2" customFormat="1" spans="1:14">
      <c r="A214" s="4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"/>
    </row>
    <row r="215" s="2" customFormat="1" spans="1:14">
      <c r="A215" s="4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"/>
    </row>
    <row r="216" s="2" customFormat="1" spans="1:14">
      <c r="A216" s="4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"/>
    </row>
    <row r="217" s="2" customFormat="1" spans="1:14">
      <c r="A217" s="4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"/>
    </row>
    <row r="218" s="2" customFormat="1" spans="1:14">
      <c r="A218" s="4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"/>
    </row>
    <row r="219" s="2" customFormat="1" spans="1:14">
      <c r="A219" s="4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"/>
    </row>
    <row r="220" s="2" customFormat="1" spans="1:14">
      <c r="A220" s="4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"/>
    </row>
    <row r="221" s="2" customFormat="1" spans="1:14">
      <c r="A221" s="4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"/>
    </row>
    <row r="222" s="2" customFormat="1" spans="1:14">
      <c r="A222" s="4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"/>
    </row>
    <row r="223" s="2" customFormat="1" spans="1:14">
      <c r="A223" s="4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"/>
    </row>
    <row r="224" s="2" customFormat="1" spans="1:14">
      <c r="A224" s="4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"/>
    </row>
    <row r="225" s="2" customFormat="1" spans="1:14">
      <c r="A225" s="4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"/>
    </row>
    <row r="226" s="2" customFormat="1" spans="1:14">
      <c r="A226" s="4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"/>
    </row>
    <row r="227" s="2" customFormat="1" spans="1:14">
      <c r="A227" s="4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"/>
    </row>
    <row r="228" s="2" customFormat="1" spans="1:14">
      <c r="A228" s="4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"/>
    </row>
    <row r="229" s="2" customFormat="1" spans="1:14">
      <c r="A229" s="4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"/>
    </row>
    <row r="230" s="2" customFormat="1" spans="1:14">
      <c r="A230" s="4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"/>
    </row>
    <row r="231" s="2" customFormat="1" spans="1:14">
      <c r="A231" s="4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"/>
    </row>
    <row r="232" s="2" customFormat="1" spans="1:14">
      <c r="A232" s="4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"/>
    </row>
    <row r="233" s="2" customFormat="1" spans="1:14">
      <c r="A233" s="4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"/>
    </row>
    <row r="234" s="2" customFormat="1" spans="1:14">
      <c r="A234" s="4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"/>
    </row>
    <row r="235" s="2" customFormat="1" spans="1:14">
      <c r="A235" s="4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"/>
    </row>
    <row r="236" s="2" customFormat="1" spans="1:14">
      <c r="A236" s="4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"/>
    </row>
    <row r="237" s="2" customFormat="1" spans="1:14">
      <c r="A237" s="4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"/>
    </row>
    <row r="238" s="2" customFormat="1" spans="1:14">
      <c r="A238" s="4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"/>
    </row>
    <row r="239" s="2" customFormat="1" spans="1:14">
      <c r="A239" s="4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"/>
    </row>
    <row r="240" s="2" customFormat="1" spans="1:14">
      <c r="A240" s="4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"/>
    </row>
    <row r="241" s="2" customFormat="1" spans="1:14">
      <c r="A241" s="4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"/>
    </row>
    <row r="242" s="2" customFormat="1" spans="1:14">
      <c r="A242" s="4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"/>
    </row>
    <row r="243" s="2" customFormat="1" spans="1:14">
      <c r="A243" s="4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"/>
    </row>
    <row r="244" s="2" customFormat="1" spans="1:14">
      <c r="A244" s="4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"/>
    </row>
    <row r="245" s="2" customFormat="1" spans="1:14">
      <c r="A245" s="4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"/>
    </row>
    <row r="246" s="2" customFormat="1" spans="1:14">
      <c r="A246" s="4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"/>
    </row>
    <row r="247" s="2" customFormat="1" spans="1:14">
      <c r="A247" s="4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"/>
    </row>
    <row r="248" s="2" customFormat="1" spans="1:14">
      <c r="A248" s="4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"/>
    </row>
    <row r="249" s="2" customFormat="1" spans="1:14">
      <c r="A249" s="4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"/>
    </row>
    <row r="250" s="2" customFormat="1" spans="1:14">
      <c r="A250" s="4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"/>
    </row>
    <row r="251" s="2" customFormat="1" spans="1:14">
      <c r="A251" s="4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"/>
    </row>
    <row r="252" s="2" customFormat="1" spans="1:14">
      <c r="A252" s="4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"/>
    </row>
    <row r="253" s="2" customFormat="1" spans="1:14">
      <c r="A253" s="4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"/>
    </row>
    <row r="254" s="2" customFormat="1" spans="1:14">
      <c r="A254" s="4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"/>
    </row>
    <row r="255" s="2" customFormat="1" spans="1:14">
      <c r="A255" s="4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"/>
    </row>
    <row r="256" s="2" customFormat="1" spans="1:14">
      <c r="A256" s="4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"/>
    </row>
    <row r="257" s="2" customFormat="1" spans="1:14">
      <c r="A257" s="4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"/>
    </row>
    <row r="258" s="2" customFormat="1" spans="1:14">
      <c r="A258" s="4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"/>
    </row>
    <row r="259" s="2" customFormat="1" spans="1:14">
      <c r="A259" s="4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"/>
    </row>
    <row r="260" s="2" customFormat="1" spans="1:14">
      <c r="A260" s="4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"/>
    </row>
    <row r="261" s="2" customFormat="1" spans="1:14">
      <c r="A261" s="4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"/>
    </row>
    <row r="262" s="2" customFormat="1" spans="1:14">
      <c r="A262" s="4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"/>
    </row>
    <row r="263" s="2" customFormat="1" spans="1:14">
      <c r="A263" s="4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"/>
    </row>
    <row r="264" s="2" customFormat="1" spans="1:14">
      <c r="A264" s="4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"/>
    </row>
    <row r="265" s="2" customFormat="1" spans="1:14">
      <c r="A265" s="4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"/>
    </row>
    <row r="266" s="2" customFormat="1" spans="1:14">
      <c r="A266" s="4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"/>
    </row>
    <row r="267" s="2" customFormat="1" spans="1:14">
      <c r="A267" s="4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"/>
    </row>
    <row r="268" s="2" customFormat="1" spans="1:14">
      <c r="A268" s="4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"/>
    </row>
    <row r="269" s="2" customFormat="1" spans="1:14">
      <c r="A269" s="4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"/>
    </row>
    <row r="270" s="2" customFormat="1" spans="1:14">
      <c r="A270" s="4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"/>
    </row>
    <row r="271" s="2" customFormat="1" spans="1:14">
      <c r="A271" s="4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"/>
    </row>
    <row r="272" s="2" customFormat="1" spans="1:14">
      <c r="A272" s="4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"/>
    </row>
    <row r="273" s="2" customFormat="1" spans="1:14">
      <c r="A273" s="4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"/>
    </row>
    <row r="274" s="2" customFormat="1" spans="1:14">
      <c r="A274" s="4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"/>
    </row>
    <row r="275" s="2" customFormat="1" spans="1:14">
      <c r="A275" s="4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"/>
    </row>
    <row r="276" s="2" customFormat="1" spans="1:14">
      <c r="A276" s="4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"/>
    </row>
    <row r="277" s="2" customFormat="1" spans="1:14">
      <c r="A277" s="4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"/>
    </row>
    <row r="278" s="2" customFormat="1" spans="1:14">
      <c r="A278" s="4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"/>
    </row>
    <row r="279" s="2" customFormat="1" spans="1:14">
      <c r="A279" s="4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"/>
    </row>
    <row r="280" s="2" customFormat="1" spans="1:14">
      <c r="A280" s="4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"/>
    </row>
    <row r="281" s="2" customFormat="1" spans="1:14">
      <c r="A281" s="4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"/>
    </row>
    <row r="282" s="2" customFormat="1" spans="1:14">
      <c r="A282" s="4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"/>
    </row>
    <row r="283" s="2" customFormat="1" spans="1:14">
      <c r="A283" s="4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"/>
    </row>
    <row r="284" s="2" customFormat="1" spans="1:14">
      <c r="A284" s="4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"/>
    </row>
    <row r="285" s="2" customFormat="1" spans="1:14">
      <c r="A285" s="4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"/>
    </row>
    <row r="286" s="2" customFormat="1" spans="1:14">
      <c r="A286" s="4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"/>
    </row>
    <row r="287" s="2" customFormat="1" spans="1:14">
      <c r="A287" s="4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"/>
    </row>
    <row r="288" s="2" customFormat="1" spans="1:14">
      <c r="A288" s="4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"/>
    </row>
    <row r="289" s="2" customFormat="1" spans="1:14">
      <c r="A289" s="4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"/>
    </row>
    <row r="290" s="2" customFormat="1" spans="1:14">
      <c r="A290" s="4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"/>
    </row>
    <row r="291" s="2" customFormat="1" spans="1:14">
      <c r="A291" s="4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"/>
    </row>
    <row r="292" s="2" customFormat="1" spans="1:14">
      <c r="A292" s="4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"/>
    </row>
    <row r="293" s="2" customFormat="1" spans="1:14">
      <c r="A293" s="4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"/>
    </row>
    <row r="294" s="2" customFormat="1" spans="1:14">
      <c r="A294" s="4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"/>
    </row>
    <row r="295" s="2" customFormat="1" spans="1:14">
      <c r="A295" s="4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"/>
    </row>
    <row r="296" s="2" customFormat="1" spans="1:14">
      <c r="A296" s="4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"/>
    </row>
    <row r="297" s="2" customFormat="1" spans="1:14">
      <c r="A297" s="4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"/>
    </row>
    <row r="298" s="2" customFormat="1" spans="1:14">
      <c r="A298" s="4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"/>
    </row>
    <row r="299" s="2" customFormat="1" spans="1:14">
      <c r="A299" s="4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"/>
    </row>
    <row r="300" s="2" customFormat="1" spans="1:14">
      <c r="A300" s="4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"/>
    </row>
    <row r="301" s="2" customFormat="1" spans="1:14">
      <c r="A301" s="4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"/>
    </row>
    <row r="302" s="2" customFormat="1" spans="1:14">
      <c r="A302" s="4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"/>
    </row>
    <row r="303" s="2" customFormat="1" spans="1:14">
      <c r="A303" s="4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"/>
    </row>
    <row r="304" s="2" customFormat="1" spans="1:14">
      <c r="A304" s="4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"/>
    </row>
    <row r="305" s="2" customFormat="1" spans="1:14">
      <c r="A305" s="4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"/>
    </row>
    <row r="306" s="2" customFormat="1" spans="1:14">
      <c r="A306" s="4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"/>
    </row>
    <row r="307" s="2" customFormat="1" spans="1:14">
      <c r="A307" s="4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"/>
    </row>
    <row r="308" s="2" customFormat="1" spans="1:14">
      <c r="A308" s="4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"/>
    </row>
    <row r="309" s="2" customFormat="1" spans="1:14">
      <c r="A309" s="4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"/>
    </row>
    <row r="310" s="2" customFormat="1" spans="1:14">
      <c r="A310" s="4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"/>
    </row>
    <row r="311" s="2" customFormat="1" spans="1:14">
      <c r="A311" s="4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"/>
    </row>
    <row r="312" s="2" customFormat="1" spans="1:14">
      <c r="A312" s="4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"/>
    </row>
    <row r="313" s="2" customFormat="1" spans="1:14">
      <c r="A313" s="4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"/>
    </row>
    <row r="314" s="2" customFormat="1" spans="1:14">
      <c r="A314" s="4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"/>
    </row>
    <row r="315" s="2" customFormat="1" spans="1:14">
      <c r="A315" s="4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"/>
    </row>
    <row r="316" s="2" customFormat="1" spans="1:14">
      <c r="A316" s="4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"/>
    </row>
    <row r="317" s="2" customFormat="1" spans="1:14">
      <c r="A317" s="4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"/>
    </row>
    <row r="318" s="2" customFormat="1" spans="1:14">
      <c r="A318" s="4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"/>
    </row>
    <row r="319" s="2" customFormat="1" spans="1:14">
      <c r="A319" s="4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"/>
    </row>
    <row r="320" s="2" customFormat="1" spans="1:14">
      <c r="A320" s="4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"/>
    </row>
    <row r="321" s="2" customFormat="1" spans="1:14">
      <c r="A321" s="4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"/>
    </row>
    <row r="322" s="2" customFormat="1" spans="1:14">
      <c r="A322" s="4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"/>
    </row>
    <row r="323" s="2" customFormat="1" spans="1:14">
      <c r="A323" s="4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"/>
    </row>
    <row r="324" s="2" customFormat="1" spans="1:14">
      <c r="A324" s="4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"/>
    </row>
    <row r="325" s="2" customFormat="1" spans="1:14">
      <c r="A325" s="4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"/>
    </row>
    <row r="326" s="2" customFormat="1" spans="1:14">
      <c r="A326" s="4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"/>
    </row>
    <row r="327" s="2" customFormat="1" spans="1:14">
      <c r="A327" s="4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"/>
    </row>
    <row r="328" s="2" customFormat="1" spans="1:14">
      <c r="A328" s="4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"/>
    </row>
    <row r="329" s="2" customFormat="1" spans="1:14">
      <c r="A329" s="4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"/>
    </row>
    <row r="330" s="2" customFormat="1" spans="1:14">
      <c r="A330" s="4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"/>
    </row>
    <row r="331" s="2" customFormat="1" spans="1:14">
      <c r="A331" s="4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"/>
    </row>
    <row r="332" s="2" customFormat="1" spans="1:14">
      <c r="A332" s="4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"/>
    </row>
    <row r="333" s="2" customFormat="1" spans="1:14">
      <c r="A333" s="4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"/>
    </row>
    <row r="334" s="2" customFormat="1" spans="1:14">
      <c r="A334" s="4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"/>
    </row>
    <row r="335" s="2" customFormat="1" spans="1:14">
      <c r="A335" s="4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"/>
    </row>
    <row r="336" s="2" customFormat="1" spans="1:14">
      <c r="A336" s="4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"/>
    </row>
    <row r="337" s="2" customFormat="1" spans="1:14">
      <c r="A337" s="4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"/>
    </row>
    <row r="338" s="2" customFormat="1" spans="1:14">
      <c r="A338" s="4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"/>
    </row>
    <row r="339" s="2" customFormat="1" spans="1:14">
      <c r="A339" s="4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"/>
    </row>
    <row r="340" s="2" customFormat="1" spans="1:14">
      <c r="A340" s="4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"/>
    </row>
    <row r="341" s="2" customFormat="1" spans="1:14">
      <c r="A341" s="4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"/>
    </row>
    <row r="342" s="2" customFormat="1" spans="1:14">
      <c r="A342" s="4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"/>
    </row>
    <row r="343" s="2" customFormat="1" spans="1:14">
      <c r="A343" s="4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"/>
    </row>
    <row r="344" s="2" customFormat="1" spans="1:14">
      <c r="A344" s="4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"/>
    </row>
    <row r="345" s="2" customFormat="1" spans="1:14">
      <c r="A345" s="4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"/>
    </row>
    <row r="346" s="2" customFormat="1" spans="1:14">
      <c r="A346" s="4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"/>
    </row>
    <row r="347" s="2" customFormat="1" spans="1:14">
      <c r="A347" s="4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"/>
    </row>
    <row r="348" s="2" customFormat="1" spans="1:14">
      <c r="A348" s="4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"/>
    </row>
    <row r="349" s="2" customFormat="1" spans="1:14">
      <c r="A349" s="4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"/>
    </row>
    <row r="350" s="2" customFormat="1" spans="1:14">
      <c r="A350" s="4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"/>
    </row>
    <row r="351" s="2" customFormat="1" spans="1:14">
      <c r="A351" s="4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"/>
    </row>
    <row r="352" s="2" customFormat="1" spans="1:14">
      <c r="A352" s="4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"/>
    </row>
    <row r="353" s="2" customFormat="1" spans="1:14">
      <c r="A353" s="4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"/>
    </row>
    <row r="354" s="2" customFormat="1" spans="1:14">
      <c r="A354" s="4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"/>
    </row>
    <row r="355" s="2" customFormat="1" spans="1:14">
      <c r="A355" s="4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"/>
    </row>
    <row r="356" s="2" customFormat="1" spans="1:14">
      <c r="A356" s="4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"/>
    </row>
    <row r="357" s="2" customFormat="1" spans="1:14">
      <c r="A357" s="4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"/>
    </row>
    <row r="358" s="2" customFormat="1" spans="1:14">
      <c r="A358" s="4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"/>
    </row>
    <row r="359" s="2" customFormat="1" spans="1:14">
      <c r="A359" s="4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"/>
    </row>
    <row r="360" s="2" customFormat="1" spans="1:14">
      <c r="A360" s="4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"/>
    </row>
    <row r="361" s="2" customFormat="1" spans="1:14">
      <c r="A361" s="4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"/>
    </row>
    <row r="362" s="2" customFormat="1" spans="1:14">
      <c r="A362" s="4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"/>
    </row>
    <row r="363" s="2" customFormat="1" spans="1:14">
      <c r="A363" s="4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"/>
    </row>
    <row r="364" s="2" customFormat="1" spans="1:14">
      <c r="A364" s="4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"/>
    </row>
    <row r="365" s="2" customFormat="1" spans="1:14">
      <c r="A365" s="4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"/>
    </row>
    <row r="366" s="2" customFormat="1" spans="1:14">
      <c r="A366" s="4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"/>
    </row>
    <row r="367" s="2" customFormat="1" spans="1:14">
      <c r="A367" s="4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"/>
    </row>
    <row r="368" s="2" customFormat="1" spans="1:14">
      <c r="A368" s="4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"/>
    </row>
    <row r="369" s="2" customFormat="1" spans="1:14">
      <c r="A369" s="4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"/>
    </row>
    <row r="370" s="2" customFormat="1" spans="1:14">
      <c r="A370" s="4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"/>
    </row>
    <row r="371" s="2" customFormat="1" spans="1:14">
      <c r="A371" s="4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"/>
    </row>
    <row r="372" s="2" customFormat="1" spans="1:14">
      <c r="A372" s="4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"/>
    </row>
    <row r="373" s="2" customFormat="1" spans="1:14">
      <c r="A373" s="4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"/>
    </row>
    <row r="374" s="2" customFormat="1" spans="1:14">
      <c r="A374" s="4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"/>
    </row>
    <row r="375" s="2" customFormat="1" spans="1:14">
      <c r="A375" s="4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"/>
    </row>
    <row r="376" s="2" customFormat="1" spans="1:14">
      <c r="A376" s="4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"/>
    </row>
    <row r="377" s="2" customFormat="1" spans="1:14">
      <c r="A377" s="4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"/>
    </row>
    <row r="378" s="2" customFormat="1" spans="1:14">
      <c r="A378" s="4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"/>
    </row>
    <row r="379" s="2" customFormat="1" spans="1:14">
      <c r="A379" s="4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"/>
    </row>
    <row r="380" s="2" customFormat="1" spans="1:14">
      <c r="A380" s="4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"/>
    </row>
    <row r="381" s="2" customFormat="1" spans="1:14">
      <c r="A381" s="4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"/>
    </row>
    <row r="382" s="2" customFormat="1" spans="1:14">
      <c r="A382" s="4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"/>
    </row>
    <row r="383" s="2" customFormat="1" spans="1:14">
      <c r="A383" s="4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"/>
    </row>
    <row r="384" s="2" customFormat="1" spans="1:14">
      <c r="A384" s="4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"/>
    </row>
    <row r="385" s="2" customFormat="1" spans="1:14">
      <c r="A385" s="4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"/>
    </row>
    <row r="386" s="2" customFormat="1" spans="1:14">
      <c r="A386" s="4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"/>
    </row>
    <row r="387" s="2" customFormat="1" spans="1:14">
      <c r="A387" s="4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"/>
    </row>
    <row r="388" s="2" customFormat="1" spans="1:14">
      <c r="A388" s="4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"/>
    </row>
    <row r="389" s="2" customFormat="1" spans="1:14">
      <c r="A389" s="4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"/>
    </row>
    <row r="390" s="2" customFormat="1" spans="1:14">
      <c r="A390" s="4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"/>
    </row>
    <row r="391" s="2" customFormat="1" spans="1:14">
      <c r="A391" s="4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"/>
    </row>
    <row r="392" s="2" customFormat="1" spans="1:14">
      <c r="A392" s="4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"/>
    </row>
    <row r="393" s="2" customFormat="1" spans="1:14">
      <c r="A393" s="4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"/>
    </row>
    <row r="394" s="2" customFormat="1" spans="1:14">
      <c r="A394" s="4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"/>
    </row>
    <row r="395" s="2" customFormat="1" spans="1:14">
      <c r="A395" s="4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"/>
    </row>
    <row r="396" s="2" customFormat="1" spans="1:14">
      <c r="A396" s="4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"/>
    </row>
    <row r="397" s="2" customFormat="1" spans="1:14">
      <c r="A397" s="4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"/>
    </row>
    <row r="398" s="2" customFormat="1" spans="1:14">
      <c r="A398" s="4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"/>
    </row>
    <row r="399" s="2" customFormat="1" spans="1:14">
      <c r="A399" s="4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"/>
    </row>
    <row r="400" s="2" customFormat="1" spans="1:14">
      <c r="A400" s="4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"/>
    </row>
    <row r="401" s="2" customFormat="1" spans="1:14">
      <c r="A401" s="4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"/>
    </row>
    <row r="402" s="2" customFormat="1" spans="1:14">
      <c r="A402" s="4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"/>
    </row>
    <row r="403" s="2" customFormat="1" spans="1:14">
      <c r="A403" s="4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"/>
    </row>
    <row r="404" s="2" customFormat="1" spans="1:14">
      <c r="A404" s="4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"/>
    </row>
    <row r="405" s="2" customFormat="1" spans="1:14">
      <c r="A405" s="4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"/>
    </row>
    <row r="406" s="2" customFormat="1" spans="1:14">
      <c r="A406" s="4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"/>
    </row>
    <row r="407" s="2" customFormat="1" spans="1:14">
      <c r="A407" s="4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"/>
    </row>
    <row r="408" s="2" customFormat="1" spans="1:14">
      <c r="A408" s="4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"/>
    </row>
    <row r="409" s="2" customFormat="1" spans="1:14">
      <c r="A409" s="4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"/>
    </row>
    <row r="410" s="2" customFormat="1" spans="1:14">
      <c r="A410" s="4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"/>
    </row>
    <row r="411" s="2" customFormat="1" spans="1:14">
      <c r="A411" s="4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"/>
    </row>
    <row r="412" s="2" customFormat="1" spans="1:14">
      <c r="A412" s="4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"/>
    </row>
    <row r="413" s="2" customFormat="1" spans="1:14">
      <c r="A413" s="4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"/>
    </row>
    <row r="414" s="2" customFormat="1" spans="1:14">
      <c r="A414" s="4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"/>
    </row>
    <row r="415" s="2" customFormat="1" spans="1:14">
      <c r="A415" s="4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"/>
    </row>
    <row r="416" s="2" customFormat="1" spans="1:14">
      <c r="A416" s="4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"/>
    </row>
    <row r="417" s="2" customFormat="1" spans="1:14">
      <c r="A417" s="4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"/>
    </row>
    <row r="418" s="2" customFormat="1" spans="1:14">
      <c r="A418" s="4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"/>
    </row>
    <row r="419" s="2" customFormat="1" spans="1:14">
      <c r="A419" s="4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"/>
    </row>
    <row r="420" s="2" customFormat="1" spans="1:14">
      <c r="A420" s="4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"/>
    </row>
    <row r="421" s="2" customFormat="1" spans="1:14">
      <c r="A421" s="4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"/>
    </row>
    <row r="422" s="2" customFormat="1" spans="1:14">
      <c r="A422" s="4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"/>
    </row>
    <row r="423" s="2" customFormat="1" spans="1:14">
      <c r="A423" s="4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"/>
    </row>
    <row r="424" s="2" customFormat="1" spans="1:14">
      <c r="A424" s="4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"/>
    </row>
    <row r="425" s="2" customFormat="1" spans="1:14">
      <c r="A425" s="4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"/>
    </row>
    <row r="426" s="2" customFormat="1" spans="1:14">
      <c r="A426" s="4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"/>
    </row>
    <row r="427" s="2" customFormat="1" spans="1:14">
      <c r="A427" s="4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"/>
    </row>
    <row r="428" s="2" customFormat="1" spans="1:14">
      <c r="A428" s="4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"/>
    </row>
    <row r="429" s="2" customFormat="1" spans="1:14">
      <c r="A429" s="4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"/>
    </row>
    <row r="430" s="2" customFormat="1" spans="1:14">
      <c r="A430" s="4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"/>
    </row>
    <row r="431" s="2" customFormat="1" spans="1:14">
      <c r="A431" s="4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"/>
    </row>
    <row r="432" s="2" customFormat="1" spans="1:14">
      <c r="A432" s="4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"/>
    </row>
    <row r="433" s="2" customFormat="1" spans="1:14">
      <c r="A433" s="4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"/>
    </row>
    <row r="434" s="2" customFormat="1" spans="1:14">
      <c r="A434" s="4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"/>
    </row>
    <row r="435" s="2" customFormat="1" spans="1:14">
      <c r="A435" s="4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"/>
    </row>
    <row r="436" s="2" customFormat="1" spans="1:14">
      <c r="A436" s="4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"/>
    </row>
    <row r="437" s="2" customFormat="1" spans="1:14">
      <c r="A437" s="4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"/>
    </row>
    <row r="438" s="2" customFormat="1" spans="1:14">
      <c r="A438" s="4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"/>
    </row>
    <row r="439" s="2" customFormat="1" spans="1:14">
      <c r="A439" s="4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"/>
    </row>
    <row r="440" s="2" customFormat="1" spans="1:14">
      <c r="A440" s="4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"/>
    </row>
    <row r="441" s="2" customFormat="1" spans="1:14">
      <c r="A441" s="4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"/>
    </row>
    <row r="442" s="2" customFormat="1" spans="1:14">
      <c r="A442" s="4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"/>
    </row>
    <row r="443" s="2" customFormat="1" spans="1:14">
      <c r="A443" s="4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"/>
    </row>
    <row r="444" s="2" customFormat="1" spans="1:14">
      <c r="A444" s="4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"/>
    </row>
    <row r="445" s="2" customFormat="1" spans="1:14">
      <c r="A445" s="4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"/>
    </row>
    <row r="446" s="2" customFormat="1" spans="1:14">
      <c r="A446" s="4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"/>
    </row>
    <row r="447" s="2" customFormat="1" spans="1:14">
      <c r="A447" s="4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"/>
    </row>
    <row r="448" s="2" customFormat="1" spans="1:14">
      <c r="A448" s="4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"/>
    </row>
    <row r="449" s="2" customFormat="1" spans="1:14">
      <c r="A449" s="4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"/>
    </row>
    <row r="450" s="2" customFormat="1" spans="1:14">
      <c r="A450" s="4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"/>
    </row>
    <row r="451" s="2" customFormat="1" spans="1:14">
      <c r="A451" s="4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"/>
    </row>
    <row r="452" s="2" customFormat="1" spans="1:14">
      <c r="A452" s="4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"/>
    </row>
    <row r="453" s="2" customFormat="1" spans="1:14">
      <c r="A453" s="4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"/>
    </row>
    <row r="454" s="2" customFormat="1" spans="1:14">
      <c r="A454" s="4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"/>
    </row>
    <row r="455" s="2" customFormat="1" spans="1:14">
      <c r="A455" s="4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"/>
    </row>
    <row r="456" s="2" customFormat="1" spans="1:14">
      <c r="A456" s="4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"/>
    </row>
    <row r="457" s="2" customFormat="1" spans="1:14">
      <c r="A457" s="4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"/>
    </row>
    <row r="458" s="2" customFormat="1" spans="1:14">
      <c r="A458" s="4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"/>
    </row>
    <row r="459" s="2" customFormat="1" spans="1:14">
      <c r="A459" s="4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"/>
    </row>
    <row r="460" s="2" customFormat="1" spans="1:14">
      <c r="A460" s="4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"/>
    </row>
    <row r="461" s="2" customFormat="1" spans="1:14">
      <c r="A461" s="4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"/>
    </row>
    <row r="462" s="2" customFormat="1" spans="1:14">
      <c r="A462" s="4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"/>
    </row>
    <row r="463" s="2" customFormat="1" spans="1:14">
      <c r="A463" s="4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"/>
    </row>
    <row r="464" s="2" customFormat="1" spans="1:14">
      <c r="A464" s="4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"/>
    </row>
    <row r="465" s="2" customFormat="1" spans="1:14">
      <c r="A465" s="4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"/>
    </row>
    <row r="466" s="2" customFormat="1" spans="1:14">
      <c r="A466" s="4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"/>
    </row>
    <row r="467" s="2" customFormat="1" spans="1:14">
      <c r="A467" s="4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"/>
    </row>
    <row r="468" s="2" customFormat="1" spans="1:14">
      <c r="A468" s="4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"/>
    </row>
    <row r="469" s="2" customFormat="1" spans="1:14">
      <c r="A469" s="4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"/>
    </row>
    <row r="470" s="2" customFormat="1" spans="1:14">
      <c r="A470" s="4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"/>
    </row>
    <row r="471" s="2" customFormat="1" spans="1:14">
      <c r="A471" s="4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"/>
    </row>
    <row r="472" s="2" customFormat="1" spans="1:14">
      <c r="A472" s="4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"/>
    </row>
    <row r="473" s="2" customFormat="1" spans="1:14">
      <c r="A473" s="4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"/>
    </row>
    <row r="474" s="2" customFormat="1" spans="1:14">
      <c r="A474" s="4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"/>
    </row>
    <row r="475" s="2" customFormat="1" spans="1:14">
      <c r="A475" s="4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"/>
    </row>
    <row r="476" s="2" customFormat="1" spans="1:14">
      <c r="A476" s="4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"/>
    </row>
    <row r="477" s="2" customFormat="1" spans="1:14">
      <c r="A477" s="4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"/>
    </row>
    <row r="478" s="2" customFormat="1" spans="1:14">
      <c r="A478" s="4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"/>
    </row>
    <row r="479" s="2" customFormat="1" spans="1:14">
      <c r="A479" s="4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"/>
    </row>
    <row r="480" s="2" customFormat="1" spans="1:14">
      <c r="A480" s="4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"/>
    </row>
    <row r="481" s="2" customFormat="1" spans="1:14">
      <c r="A481" s="4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"/>
    </row>
    <row r="482" spans="14:44">
      <c r="N482" s="45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</row>
  </sheetData>
  <sheetProtection algorithmName="SHA-512" hashValue="fB5/rDwP826EMg6LSqfiH93aoM0x6OJRVsHX9i0fdLAnJG7mP8a0BRZp+T68ZOCfZDcQ1gNJdR0RhUC1nXglJw==" saltValue="Gvh82KCyS41GydY1Z0JaoQ==" spinCount="100000" sheet="1" objects="1"/>
  <protectedRanges>
    <protectedRange sqref="R5" name="区域1"/>
  </protectedRanges>
  <autoFilter ref="A3:AR75">
    <extLst/>
  </autoFilter>
  <mergeCells count="25">
    <mergeCell ref="P4:Q4"/>
    <mergeCell ref="P8:Q8"/>
    <mergeCell ref="B4:B6"/>
    <mergeCell ref="B8:B10"/>
    <mergeCell ref="B12:B13"/>
    <mergeCell ref="B15:B17"/>
    <mergeCell ref="B73:B75"/>
    <mergeCell ref="I4:I6"/>
    <mergeCell ref="I8:I10"/>
    <mergeCell ref="I12:I13"/>
    <mergeCell ref="I15:I17"/>
    <mergeCell ref="J4:J6"/>
    <mergeCell ref="J8:J10"/>
    <mergeCell ref="J12:J13"/>
    <mergeCell ref="J15:J17"/>
    <mergeCell ref="K4:K6"/>
    <mergeCell ref="K8:K10"/>
    <mergeCell ref="K12:K13"/>
    <mergeCell ref="K15:K17"/>
    <mergeCell ref="L4:L6"/>
    <mergeCell ref="L8:L10"/>
    <mergeCell ref="L12:L13"/>
    <mergeCell ref="L15:L17"/>
    <mergeCell ref="P5:P7"/>
    <mergeCell ref="B1:K2"/>
  </mergeCells>
  <pageMargins left="0.7" right="0.7" top="0.75" bottom="0.75" header="0.3" footer="0.3"/>
  <pageSetup paperSize="9" orientation="landscape"/>
  <headerFooter/>
  <colBreaks count="1" manualBreakCount="1">
    <brk id="11" max="1048575" man="1"/>
  </col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��:S�W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fengmaode</cp:lastModifiedBy>
  <dcterms:created xsi:type="dcterms:W3CDTF">2023-05-12T11:15:00Z</dcterms:created>
  <dcterms:modified xsi:type="dcterms:W3CDTF">2026-09-16T08:41:56Z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10B8EF63B7C84891A84CC79826CA7272_13</vt:lpwstr>
  </property>
  <property fmtid="{D5CDD505-2E9C-101B-9397-08002B2CF9AE}" pid="4" name="CalculationRule">
    <vt:i4>0</vt:i4>
  </property>
</Properties>
</file>