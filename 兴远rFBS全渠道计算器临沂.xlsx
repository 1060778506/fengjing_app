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vhZud3JrS9g9/P6iCnECFRUoQalmebrfHtBCg3vELIiQlJHsbkjMiS5qeWwMfzBHqh1ytq9NjR2Jkf7fRbjazQ==" workbookSaltValue="72PVhPRdJ48LZshmLN1wkg==" workbookSpinCount="100000" lockStructure="1"/>
  <bookViews>
    <workbookView windowWidth="27945" windowHeight="12375"/>
  </bookViews>
  <sheets>
    <sheet name="兴远渠道计算" sheetId="1" r:id="rId1"/>
    <sheet name="兴远吉尔吉斯渠道计算" sheetId="5" r:id="rId2"/>
    <sheet name="俄罗斯公式" sheetId="3" state="hidden" r:id="rId3"/>
    <sheet name="吉尔吉斯公式" sheetId="6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hp</author>
  </authors>
  <commentList>
    <comment ref="D3" authorId="0">
      <text>
        <r>
          <rPr>
            <sz val="16"/>
            <rFont val="黑体"/>
            <charset val="134"/>
          </rPr>
          <t>XY经济超级轻小件</t>
        </r>
      </text>
    </comment>
    <comment ref="D4" authorId="0">
      <text>
        <r>
          <rPr>
            <sz val="16"/>
            <rFont val="黑体"/>
            <charset val="134"/>
          </rPr>
          <t>XY标准超级轻小件</t>
        </r>
      </text>
    </comment>
    <comment ref="D6" authorId="0">
      <text>
        <r>
          <rPr>
            <sz val="16"/>
            <rFont val="黑体"/>
            <charset val="134"/>
          </rPr>
          <t>XY 标准低客单价</t>
        </r>
      </text>
    </comment>
    <comment ref="D7" authorId="0">
      <text>
        <r>
          <rPr>
            <sz val="16"/>
            <rFont val="黑体"/>
            <charset val="134"/>
          </rPr>
          <t>XY 经济轻小件</t>
        </r>
      </text>
    </comment>
    <comment ref="D8" authorId="0">
      <text>
        <r>
          <rPr>
            <sz val="16"/>
            <rFont val="黑体"/>
            <charset val="134"/>
          </rPr>
          <t>XY 标准轻小件</t>
        </r>
      </text>
    </comment>
    <comment ref="D10" authorId="0">
      <text>
        <r>
          <rPr>
            <sz val="16"/>
            <rFont val="黑体"/>
            <charset val="134"/>
          </rPr>
          <t>XY 标准大件</t>
        </r>
      </text>
    </comment>
    <comment ref="D11" authorId="0">
      <text>
        <r>
          <rPr>
            <sz val="16"/>
            <rFont val="黑体"/>
            <charset val="134"/>
          </rPr>
          <t>XY 经济高客单价轻小件</t>
        </r>
      </text>
    </comment>
    <comment ref="D12" authorId="0">
      <text>
        <r>
          <rPr>
            <sz val="16"/>
            <rFont val="黑体"/>
            <charset val="134"/>
          </rPr>
          <t>XY 标准高客单价轻小件</t>
        </r>
      </text>
    </comment>
    <comment ref="D14" authorId="0">
      <text>
        <r>
          <rPr>
            <sz val="16"/>
            <rFont val="黑体"/>
            <charset val="134"/>
          </rPr>
          <t>XY 标准高客单价大件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D3" authorId="0">
      <text>
        <r>
          <rPr>
            <sz val="16"/>
            <rFont val="黑体"/>
            <charset val="134"/>
          </rPr>
          <t>XY标准超级轻小件</t>
        </r>
      </text>
    </comment>
    <comment ref="D4" authorId="0">
      <text>
        <r>
          <rPr>
            <sz val="16"/>
            <rFont val="黑体"/>
            <charset val="134"/>
          </rPr>
          <t>XY 标准低客单价</t>
        </r>
      </text>
    </comment>
    <comment ref="D5" authorId="0">
      <text>
        <r>
          <rPr>
            <sz val="16"/>
            <rFont val="黑体"/>
            <charset val="134"/>
          </rPr>
          <t>XY 标准轻小件</t>
        </r>
      </text>
    </comment>
    <comment ref="D6" authorId="0">
      <text>
        <r>
          <rPr>
            <sz val="16"/>
            <rFont val="黑体"/>
            <charset val="134"/>
          </rPr>
          <t>XY 标准大件</t>
        </r>
      </text>
    </comment>
    <comment ref="D7" authorId="0">
      <text>
        <r>
          <rPr>
            <sz val="16"/>
            <rFont val="黑体"/>
            <charset val="134"/>
          </rPr>
          <t>XY 标准高客单价轻小件</t>
        </r>
      </text>
    </comment>
    <comment ref="D8" authorId="0">
      <text>
        <r>
          <rPr>
            <sz val="16"/>
            <rFont val="黑体"/>
            <charset val="134"/>
          </rPr>
          <t>XY 标准高客单价大件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C2" authorId="0">
      <text>
        <r>
          <rPr>
            <sz val="16"/>
            <rFont val="黑体"/>
            <charset val="134"/>
          </rPr>
          <t>XY经济超级轻小件</t>
        </r>
      </text>
    </comment>
    <comment ref="C3" authorId="0">
      <text>
        <r>
          <rPr>
            <sz val="16"/>
            <rFont val="黑体"/>
            <charset val="134"/>
          </rPr>
          <t>XY经济超级轻小件</t>
        </r>
      </text>
    </comment>
    <comment ref="C4" authorId="0">
      <text>
        <r>
          <rPr>
            <sz val="16"/>
            <rFont val="黑体"/>
            <charset val="134"/>
          </rPr>
          <t>XY标准超级轻小件</t>
        </r>
      </text>
    </comment>
    <comment ref="C5" authorId="0">
      <text>
        <r>
          <rPr>
            <sz val="16"/>
            <rFont val="黑体"/>
            <charset val="134"/>
          </rPr>
          <t>XY标准超级轻小件</t>
        </r>
      </text>
    </comment>
    <comment ref="C6" authorId="0">
      <text>
        <r>
          <rPr>
            <sz val="16"/>
            <rFont val="黑体"/>
            <charset val="134"/>
          </rPr>
          <t>XY特快超级轻小件</t>
        </r>
      </text>
    </comment>
    <comment ref="C7" authorId="0">
      <text>
        <r>
          <rPr>
            <sz val="16"/>
            <rFont val="黑体"/>
            <charset val="134"/>
          </rPr>
          <t>XY特快超级轻小件</t>
        </r>
      </text>
    </comment>
    <comment ref="C10" authorId="0">
      <text>
        <r>
          <rPr>
            <sz val="16"/>
            <rFont val="黑体"/>
            <charset val="134"/>
          </rPr>
          <t>XY 标准低客单价</t>
        </r>
      </text>
    </comment>
    <comment ref="C11" authorId="0">
      <text>
        <r>
          <rPr>
            <sz val="16"/>
            <rFont val="黑体"/>
            <charset val="134"/>
          </rPr>
          <t>XY 标准低客单价</t>
        </r>
      </text>
    </comment>
    <comment ref="C14" authorId="0">
      <text>
        <r>
          <rPr>
            <sz val="16"/>
            <rFont val="黑体"/>
            <charset val="134"/>
          </rPr>
          <t>XY 经济轻小件</t>
        </r>
      </text>
    </comment>
    <comment ref="C15" authorId="0">
      <text>
        <r>
          <rPr>
            <sz val="16"/>
            <rFont val="黑体"/>
            <charset val="134"/>
          </rPr>
          <t>XY 经济轻小件</t>
        </r>
      </text>
    </comment>
    <comment ref="C16" authorId="0">
      <text>
        <r>
          <rPr>
            <sz val="16"/>
            <rFont val="黑体"/>
            <charset val="134"/>
          </rPr>
          <t>XY 标准轻小件</t>
        </r>
      </text>
    </comment>
    <comment ref="C17" authorId="0">
      <text>
        <r>
          <rPr>
            <sz val="16"/>
            <rFont val="黑体"/>
            <charset val="134"/>
          </rPr>
          <t>XY 标准轻小件</t>
        </r>
      </text>
    </comment>
    <comment ref="C18" authorId="0">
      <text>
        <r>
          <rPr>
            <sz val="16"/>
            <rFont val="黑体"/>
            <charset val="134"/>
          </rPr>
          <t>XY 特快轻小件</t>
        </r>
      </text>
    </comment>
    <comment ref="C19" authorId="0">
      <text>
        <r>
          <rPr>
            <sz val="16"/>
            <rFont val="黑体"/>
            <charset val="134"/>
          </rPr>
          <t>XY 特快轻小件</t>
        </r>
      </text>
    </comment>
    <comment ref="C22" authorId="0">
      <text>
        <r>
          <rPr>
            <sz val="16"/>
            <rFont val="黑体"/>
            <charset val="134"/>
          </rPr>
          <t>XY 标准大件</t>
        </r>
      </text>
    </comment>
    <comment ref="C23" authorId="0">
      <text>
        <r>
          <rPr>
            <sz val="16"/>
            <rFont val="黑体"/>
            <charset val="134"/>
          </rPr>
          <t>XY 标准大件</t>
        </r>
      </text>
    </comment>
    <comment ref="C26" authorId="0">
      <text>
        <r>
          <rPr>
            <sz val="16"/>
            <rFont val="黑体"/>
            <charset val="134"/>
          </rPr>
          <t>XY 经济高客单价轻小件</t>
        </r>
      </text>
    </comment>
    <comment ref="C27" authorId="0">
      <text>
        <r>
          <rPr>
            <sz val="16"/>
            <rFont val="黑体"/>
            <charset val="134"/>
          </rPr>
          <t>XY 经济高客单价轻小件</t>
        </r>
      </text>
    </comment>
    <comment ref="C28" authorId="0">
      <text>
        <r>
          <rPr>
            <sz val="16"/>
            <rFont val="黑体"/>
            <charset val="134"/>
          </rPr>
          <t>XY 标准高客单价轻小件</t>
        </r>
      </text>
    </comment>
    <comment ref="C29" authorId="0">
      <text>
        <r>
          <rPr>
            <sz val="16"/>
            <rFont val="黑体"/>
            <charset val="134"/>
          </rPr>
          <t>XY 标准高客单价轻小件</t>
        </r>
      </text>
    </comment>
    <comment ref="C30" authorId="0">
      <text>
        <r>
          <rPr>
            <sz val="16"/>
            <rFont val="黑体"/>
            <charset val="134"/>
          </rPr>
          <t>XY 标准高客单价轻小件</t>
        </r>
      </text>
    </comment>
    <comment ref="C31" authorId="0">
      <text>
        <r>
          <rPr>
            <sz val="16"/>
            <rFont val="黑体"/>
            <charset val="134"/>
          </rPr>
          <t>XY 标准高客单价轻小件</t>
        </r>
      </text>
    </comment>
    <comment ref="C34" authorId="0">
      <text>
        <r>
          <rPr>
            <sz val="16"/>
            <rFont val="黑体"/>
            <charset val="134"/>
          </rPr>
          <t>XY 标准高客单价大件</t>
        </r>
      </text>
    </comment>
    <comment ref="C35" authorId="0">
      <text>
        <r>
          <rPr>
            <sz val="16"/>
            <rFont val="黑体"/>
            <charset val="134"/>
          </rPr>
          <t>XY 标准高客单价大件</t>
        </r>
      </text>
    </comment>
  </commentList>
</comments>
</file>

<file path=xl/comments4.xml><?xml version="1.0" encoding="utf-8"?>
<comments xmlns="http://schemas.openxmlformats.org/spreadsheetml/2006/main">
  <authors>
    <author>hp</author>
  </authors>
  <commentList>
    <comment ref="C2" authorId="0">
      <text>
        <r>
          <rPr>
            <sz val="16"/>
            <rFont val="黑体"/>
            <charset val="134"/>
          </rPr>
          <t>XY经济超级轻小件</t>
        </r>
      </text>
    </comment>
    <comment ref="C3" authorId="0">
      <text>
        <r>
          <rPr>
            <sz val="16"/>
            <rFont val="黑体"/>
            <charset val="134"/>
          </rPr>
          <t>XY经济超级轻小件</t>
        </r>
      </text>
    </comment>
    <comment ref="C4" authorId="0">
      <text>
        <r>
          <rPr>
            <sz val="16"/>
            <rFont val="黑体"/>
            <charset val="134"/>
          </rPr>
          <t>XY标准超级轻小件</t>
        </r>
      </text>
    </comment>
    <comment ref="C5" authorId="0">
      <text>
        <r>
          <rPr>
            <sz val="16"/>
            <rFont val="黑体"/>
            <charset val="134"/>
          </rPr>
          <t>XY标准超级轻小件</t>
        </r>
      </text>
    </comment>
    <comment ref="C6" authorId="0">
      <text>
        <r>
          <rPr>
            <sz val="16"/>
            <rFont val="黑体"/>
            <charset val="134"/>
          </rPr>
          <t>XY特快超级轻小件</t>
        </r>
      </text>
    </comment>
    <comment ref="C7" authorId="0">
      <text>
        <r>
          <rPr>
            <sz val="16"/>
            <rFont val="黑体"/>
            <charset val="134"/>
          </rPr>
          <t>XY特快超级轻小件</t>
        </r>
      </text>
    </comment>
    <comment ref="C10" authorId="0">
      <text>
        <r>
          <rPr>
            <sz val="16"/>
            <rFont val="黑体"/>
            <charset val="134"/>
          </rPr>
          <t>XY 标准低客单价</t>
        </r>
      </text>
    </comment>
    <comment ref="C11" authorId="0">
      <text>
        <r>
          <rPr>
            <sz val="16"/>
            <rFont val="黑体"/>
            <charset val="134"/>
          </rPr>
          <t>XY 标准低客单价</t>
        </r>
      </text>
    </comment>
    <comment ref="C14" authorId="0">
      <text>
        <r>
          <rPr>
            <sz val="16"/>
            <rFont val="黑体"/>
            <charset val="134"/>
          </rPr>
          <t>XY 经济轻小件</t>
        </r>
      </text>
    </comment>
    <comment ref="C15" authorId="0">
      <text>
        <r>
          <rPr>
            <sz val="16"/>
            <rFont val="黑体"/>
            <charset val="134"/>
          </rPr>
          <t>XY 经济轻小件</t>
        </r>
      </text>
    </comment>
    <comment ref="C16" authorId="0">
      <text>
        <r>
          <rPr>
            <sz val="16"/>
            <rFont val="黑体"/>
            <charset val="134"/>
          </rPr>
          <t>XY 标准轻小件</t>
        </r>
      </text>
    </comment>
    <comment ref="C17" authorId="0">
      <text>
        <r>
          <rPr>
            <sz val="16"/>
            <rFont val="黑体"/>
            <charset val="134"/>
          </rPr>
          <t>XY 标准轻小件</t>
        </r>
      </text>
    </comment>
    <comment ref="C18" authorId="0">
      <text>
        <r>
          <rPr>
            <sz val="16"/>
            <rFont val="黑体"/>
            <charset val="134"/>
          </rPr>
          <t>XY 特快轻小件</t>
        </r>
      </text>
    </comment>
    <comment ref="C19" authorId="0">
      <text>
        <r>
          <rPr>
            <sz val="16"/>
            <rFont val="黑体"/>
            <charset val="134"/>
          </rPr>
          <t>XY 特快轻小件</t>
        </r>
      </text>
    </comment>
    <comment ref="C22" authorId="0">
      <text>
        <r>
          <rPr>
            <sz val="16"/>
            <rFont val="黑体"/>
            <charset val="134"/>
          </rPr>
          <t>XY 标准大件</t>
        </r>
      </text>
    </comment>
    <comment ref="C23" authorId="0">
      <text>
        <r>
          <rPr>
            <sz val="16"/>
            <rFont val="黑体"/>
            <charset val="134"/>
          </rPr>
          <t>XY 标准大件</t>
        </r>
      </text>
    </comment>
    <comment ref="C26" authorId="0">
      <text>
        <r>
          <rPr>
            <sz val="16"/>
            <rFont val="黑体"/>
            <charset val="134"/>
          </rPr>
          <t>XY 经济高客单价轻小件</t>
        </r>
      </text>
    </comment>
    <comment ref="C27" authorId="0">
      <text>
        <r>
          <rPr>
            <sz val="16"/>
            <rFont val="黑体"/>
            <charset val="134"/>
          </rPr>
          <t>XY 经济高客单价轻小件</t>
        </r>
      </text>
    </comment>
    <comment ref="C28" authorId="0">
      <text>
        <r>
          <rPr>
            <sz val="16"/>
            <rFont val="黑体"/>
            <charset val="134"/>
          </rPr>
          <t>XY 标准高客单价轻小件</t>
        </r>
      </text>
    </comment>
    <comment ref="C29" authorId="0">
      <text>
        <r>
          <rPr>
            <sz val="16"/>
            <rFont val="黑体"/>
            <charset val="134"/>
          </rPr>
          <t>XY 标准高客单价轻小件</t>
        </r>
      </text>
    </comment>
    <comment ref="C30" authorId="0">
      <text>
        <r>
          <rPr>
            <sz val="16"/>
            <rFont val="黑体"/>
            <charset val="134"/>
          </rPr>
          <t>XY 标准高客单价轻小件</t>
        </r>
      </text>
    </comment>
    <comment ref="C31" authorId="0">
      <text>
        <r>
          <rPr>
            <sz val="16"/>
            <rFont val="黑体"/>
            <charset val="134"/>
          </rPr>
          <t>XY 标准高客单价轻小件</t>
        </r>
      </text>
    </comment>
    <comment ref="C34" authorId="0">
      <text>
        <r>
          <rPr>
            <sz val="16"/>
            <rFont val="黑体"/>
            <charset val="134"/>
          </rPr>
          <t>XY 标准高客单价大件</t>
        </r>
      </text>
    </comment>
    <comment ref="C35" authorId="0">
      <text>
        <r>
          <rPr>
            <sz val="16"/>
            <rFont val="黑体"/>
            <charset val="134"/>
          </rPr>
          <t>XY 标准高客单价大件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<sst xmlns="http://schemas.openxmlformats.org/spreadsheetml/2006/main" count="577" uniqueCount="173">
  <si>
    <r>
      <rPr>
        <b/>
        <sz val="36"/>
        <color theme="0"/>
        <rFont val="微软雅黑"/>
        <charset val="134"/>
      </rPr>
      <t>兴远国际线上渠道合集</t>
    </r>
    <r>
      <rPr>
        <b/>
        <sz val="24"/>
        <color theme="0"/>
        <rFont val="微软雅黑"/>
        <charset val="134"/>
      </rPr>
      <t>--ozon官方指定物流</t>
    </r>
  </si>
  <si>
    <t>2026.07.17版</t>
  </si>
  <si>
    <t>填入重量/KG ↓</t>
  </si>
  <si>
    <t>填入销售价值/卢布 ↓</t>
  </si>
  <si>
    <t>三边尺寸/CM（长*宽*高）↓</t>
  </si>
  <si>
    <t>产品模式</t>
  </si>
  <si>
    <t>分类</t>
  </si>
  <si>
    <t>运输方式</t>
  </si>
  <si>
    <t>渠道名称</t>
  </si>
  <si>
    <t>价格</t>
  </si>
  <si>
    <t>广州到莫斯科分拣中心时效（天）</t>
  </si>
  <si>
    <t>运费预估</t>
  </si>
  <si>
    <t>货值限制/卢布</t>
  </si>
  <si>
    <t>重量服务范围</t>
  </si>
  <si>
    <t>尺寸服务范围</t>
  </si>
  <si>
    <t>计重方式</t>
  </si>
  <si>
    <t>免费顺丰揽收标准</t>
  </si>
  <si>
    <t>渠道优势</t>
  </si>
  <si>
    <t>rFbs</t>
  </si>
  <si>
    <t>Extra Small
（标准超级轻小件）</t>
  </si>
  <si>
    <t>Economy
陆运</t>
  </si>
  <si>
    <t>XY Economy Extra Small</t>
  </si>
  <si>
    <t>¥3.37元+ ¥0.0281/克</t>
  </si>
  <si>
    <t>13-18天</t>
  </si>
  <si>
    <t>不超1600卢布</t>
  </si>
  <si>
    <t>1克→550克</t>
  </si>
  <si>
    <t>单边≤60cm；
三边和（长+宽+高）≤90cm</t>
  </si>
  <si>
    <t>按照实重计费</t>
  </si>
  <si>
    <t>50件或大于等于10KG</t>
  </si>
  <si>
    <r>
      <rPr>
        <sz val="11"/>
        <color theme="1"/>
        <rFont val="微软雅黑"/>
        <charset val="134"/>
      </rPr>
      <t>适合重量</t>
    </r>
    <r>
      <rPr>
        <sz val="11"/>
        <color rgb="FFC00000"/>
        <rFont val="微软雅黑"/>
        <charset val="134"/>
      </rPr>
      <t>0.001-0.5KG、货值1500卢布</t>
    </r>
    <r>
      <rPr>
        <sz val="11"/>
        <color theme="1"/>
        <rFont val="微软雅黑"/>
        <charset val="134"/>
      </rPr>
      <t>以内的商品，推荐用于3C、小饰品等小件商品</t>
    </r>
  </si>
  <si>
    <t>注意：选择退回中国需要提供退回中国的详细地址和联系电话</t>
  </si>
  <si>
    <t>Standard
陆空联运</t>
  </si>
  <si>
    <t>XY Extra Small Standard</t>
  </si>
  <si>
    <t>¥3.37元+ ¥0.0393/克</t>
  </si>
  <si>
    <t>10-15天</t>
  </si>
  <si>
    <r>
      <rPr>
        <sz val="10"/>
        <color theme="1"/>
        <rFont val="宋体"/>
        <charset val="134"/>
        <scheme val="minor"/>
      </rPr>
      <t>包裹已经在国外：「</t>
    </r>
    <r>
      <rPr>
        <sz val="10"/>
        <color rgb="FFFF0000"/>
        <rFont val="宋体"/>
        <charset val="134"/>
        <scheme val="minor"/>
      </rPr>
      <t>客户退件</t>
    </r>
    <r>
      <rPr>
        <sz val="10"/>
        <color theme="1"/>
        <rFont val="宋体"/>
        <charset val="134"/>
        <scheme val="minor"/>
      </rPr>
      <t>」: 即包裹已被买家签收不满意后需要处理的包裹</t>
    </r>
  </si>
  <si>
    <t>Budget
（标准低客单价）</t>
  </si>
  <si>
    <t>XY Economy Budget</t>
  </si>
  <si>
    <t>¥25.83元+ ¥0.0191/1克</t>
  </si>
  <si>
    <t>551克→30千克</t>
  </si>
  <si>
    <t>单边≤60cm；
三边和（长+宽+高）≤150cm</t>
  </si>
  <si>
    <r>
      <rPr>
        <sz val="11"/>
        <color theme="1"/>
        <rFont val="微软雅黑"/>
        <charset val="134"/>
      </rPr>
      <t>适合产品</t>
    </r>
    <r>
      <rPr>
        <sz val="11"/>
        <color rgb="FFC00000"/>
        <rFont val="微软雅黑"/>
        <charset val="134"/>
      </rPr>
      <t>货值较低但体积较大</t>
    </r>
    <r>
      <rPr>
        <sz val="11"/>
        <color theme="1"/>
        <rFont val="微软雅黑"/>
        <charset val="134"/>
      </rPr>
      <t>的商品</t>
    </r>
  </si>
  <si>
    <r>
      <rPr>
        <sz val="10"/>
        <color theme="1"/>
        <rFont val="宋体"/>
        <charset val="134"/>
        <scheme val="minor"/>
      </rPr>
      <t>包裹已经在国外：「</t>
    </r>
    <r>
      <rPr>
        <sz val="10"/>
        <color rgb="FFFF0000"/>
        <rFont val="宋体"/>
        <charset val="134"/>
        <scheme val="minor"/>
      </rPr>
      <t>买家未签收的包裹</t>
    </r>
    <r>
      <rPr>
        <sz val="10"/>
        <color theme="1"/>
        <rFont val="宋体"/>
        <charset val="134"/>
        <scheme val="minor"/>
      </rPr>
      <t>」: 即包裹未被买家签收不满意或未签收取消后需要处理的包裹</t>
    </r>
  </si>
  <si>
    <t>XY Standard Budget</t>
  </si>
  <si>
    <t>¥25.83元+ ¥0.0281/克</t>
  </si>
  <si>
    <r>
      <rPr>
        <sz val="10"/>
        <color theme="1"/>
        <rFont val="宋体"/>
        <charset val="134"/>
        <scheme val="minor"/>
      </rPr>
      <t>包裹在国内所有集货仓：「</t>
    </r>
    <r>
      <rPr>
        <sz val="10"/>
        <color rgb="FFFF0000"/>
        <rFont val="宋体"/>
        <charset val="134"/>
        <scheme val="minor"/>
      </rPr>
      <t>包裹问题件</t>
    </r>
    <r>
      <rPr>
        <sz val="10"/>
        <color theme="1"/>
        <rFont val="宋体"/>
        <charset val="134"/>
        <scheme val="minor"/>
      </rPr>
      <t>」: 即包裹在仓库入仓前出现问题的包裹</t>
    </r>
  </si>
  <si>
    <t>Small
（标准小件）</t>
  </si>
  <si>
    <t>XY Economy  Small</t>
  </si>
  <si>
    <t>¥17.97元+ ¥0.0281/克</t>
  </si>
  <si>
    <t>1501→7200卢布</t>
  </si>
  <si>
    <t>1克→2200克</t>
  </si>
  <si>
    <r>
      <rPr>
        <sz val="11"/>
        <color theme="1"/>
        <rFont val="微软雅黑"/>
        <charset val="134"/>
      </rPr>
      <t>适合重量</t>
    </r>
    <r>
      <rPr>
        <sz val="11"/>
        <color rgb="FFC00000"/>
        <rFont val="微软雅黑"/>
        <charset val="134"/>
      </rPr>
      <t>2KG内，货值1501-7200卢布</t>
    </r>
    <r>
      <rPr>
        <sz val="11"/>
        <color theme="1"/>
        <rFont val="微软雅黑"/>
        <charset val="134"/>
      </rPr>
      <t>以内的商品</t>
    </r>
  </si>
  <si>
    <r>
      <rPr>
        <sz val="10"/>
        <color theme="1"/>
        <rFont val="宋体"/>
        <charset val="134"/>
        <scheme val="minor"/>
      </rPr>
      <t>包裹在国内/国外：「</t>
    </r>
    <r>
      <rPr>
        <sz val="10"/>
        <color rgb="FFFF0000"/>
        <rFont val="宋体"/>
        <charset val="134"/>
        <scheme val="minor"/>
      </rPr>
      <t>海关清关失败退回</t>
    </r>
    <r>
      <rPr>
        <sz val="10"/>
        <color theme="1"/>
        <rFont val="宋体"/>
        <charset val="134"/>
        <scheme val="minor"/>
      </rPr>
      <t>」: 即包裹在中俄海关清关失败的包裹</t>
    </r>
  </si>
  <si>
    <t>XY Standard Small</t>
  </si>
  <si>
    <t>¥17.97元+ ¥0.0393/克</t>
  </si>
  <si>
    <t>说明</t>
  </si>
  <si>
    <t>客户退件
（国外）</t>
  </si>
  <si>
    <t>买家未签收的包裹
（国外）</t>
  </si>
  <si>
    <t>包裹问题件
（国内集货仓）</t>
  </si>
  <si>
    <t>海关退回</t>
  </si>
  <si>
    <t>Big
（标准大件）</t>
  </si>
  <si>
    <t>XY Economy Big</t>
  </si>
  <si>
    <t>¥40.44元+ ¥0.0191/1克</t>
  </si>
  <si>
    <t>2201克→30千克</t>
  </si>
  <si>
    <t>单边≤150cm；
三边和（长+宽+高）≤310cm</t>
  </si>
  <si>
    <t>实重vs体积重混合计费
（公式：长×宽×高/12000）</t>
  </si>
  <si>
    <r>
      <rPr>
        <sz val="11"/>
        <color theme="1"/>
        <rFont val="微软雅黑"/>
        <charset val="134"/>
      </rPr>
      <t>适合重量在</t>
    </r>
    <r>
      <rPr>
        <sz val="11"/>
        <color rgb="FFC00000"/>
        <rFont val="微软雅黑"/>
        <charset val="134"/>
      </rPr>
      <t>2KG-30KG之间、货值在1500-7200卢布</t>
    </r>
    <r>
      <rPr>
        <sz val="11"/>
        <color theme="1"/>
        <rFont val="微软雅黑"/>
        <charset val="134"/>
      </rPr>
      <t>以内的商品</t>
    </r>
  </si>
  <si>
    <t>存储时间</t>
  </si>
  <si>
    <t>免费存储14天，14天内没收到准确的处理方案，处理进行销毁</t>
  </si>
  <si>
    <t>免费存储7天
8-14天存储费3元/件/天
第15天销毁</t>
  </si>
  <si>
    <t>7天未提供方案进行销毁</t>
  </si>
  <si>
    <r>
      <rPr>
        <sz val="9"/>
        <color theme="1"/>
        <rFont val="宋体"/>
        <charset val="134"/>
        <scheme val="minor"/>
      </rPr>
      <t xml:space="preserve">中国口岸/俄罗斯清关失败，监管仓退回：
</t>
    </r>
    <r>
      <rPr>
        <sz val="9"/>
        <color rgb="FFFF0000"/>
        <rFont val="宋体"/>
        <charset val="134"/>
        <scheme val="minor"/>
      </rPr>
      <t>支付1.5倍运费</t>
    </r>
  </si>
  <si>
    <t>XY Standard Big</t>
  </si>
  <si>
    <t>¥40.44元+ ¥0.0281/克</t>
  </si>
  <si>
    <t>费用价格</t>
  </si>
  <si>
    <r>
      <rPr>
        <sz val="9"/>
        <color theme="1"/>
        <rFont val="宋体"/>
        <charset val="134"/>
        <scheme val="minor"/>
      </rPr>
      <t>中国发出到俄罗斯运费的1.5倍
（</t>
    </r>
    <r>
      <rPr>
        <sz val="9"/>
        <color rgb="FFFF0000"/>
        <rFont val="宋体"/>
        <charset val="134"/>
        <scheme val="minor"/>
      </rPr>
      <t>负责从俄罗斯退回到边境仓后，德邦快递到付到买家手里</t>
    </r>
    <r>
      <rPr>
        <sz val="9"/>
        <color theme="1"/>
        <rFont val="宋体"/>
        <charset val="134"/>
        <scheme val="minor"/>
      </rPr>
      <t>）</t>
    </r>
  </si>
  <si>
    <t>Premium  Small
（高客单价小件）</t>
  </si>
  <si>
    <t>XY Economy Premium Small</t>
  </si>
  <si>
    <t>¥24.71元+ ¥0.0281/克</t>
  </si>
  <si>
    <t>7001→250000卢布</t>
  </si>
  <si>
    <t>1克→5500克</t>
  </si>
  <si>
    <t>单边≤150cm；
三边和（长+宽+高）≤250cm</t>
  </si>
  <si>
    <r>
      <rPr>
        <sz val="11"/>
        <color theme="1"/>
        <rFont val="微软雅黑"/>
        <charset val="134"/>
      </rPr>
      <t>适合重量0.001-5KG，专门针对重量</t>
    </r>
    <r>
      <rPr>
        <sz val="11"/>
        <color rgb="FFC00000"/>
        <rFont val="微软雅黑"/>
        <charset val="134"/>
      </rPr>
      <t>5KG以内的高客单价商品</t>
    </r>
    <r>
      <rPr>
        <sz val="11"/>
        <color theme="1"/>
        <rFont val="微软雅黑"/>
        <charset val="134"/>
      </rPr>
      <t>，提供高性价比选择</t>
    </r>
  </si>
  <si>
    <t>XY Standard Premium Small</t>
  </si>
  <si>
    <t>¥24.71元+ ¥0.0393/克</t>
  </si>
  <si>
    <t>以上政策将根据最新计算器版本政策为准</t>
  </si>
  <si>
    <t>Premium Big
（高客单价大件）</t>
  </si>
  <si>
    <t>XY Economy Premium Big</t>
  </si>
  <si>
    <t>¥69.64元+ ¥0.0258/克</t>
  </si>
  <si>
    <t>5501克→30千克</t>
  </si>
  <si>
    <r>
      <rPr>
        <sz val="11"/>
        <color theme="1"/>
        <rFont val="微软雅黑"/>
        <charset val="134"/>
      </rPr>
      <t>针对</t>
    </r>
    <r>
      <rPr>
        <sz val="11"/>
        <color rgb="FFC00000"/>
        <rFont val="微软雅黑"/>
        <charset val="134"/>
      </rPr>
      <t>5-30kg大件、7000-250000卢布</t>
    </r>
    <r>
      <rPr>
        <sz val="11"/>
        <color theme="1"/>
        <rFont val="微软雅黑"/>
        <charset val="134"/>
      </rPr>
      <t>的商品，提供最佳优质选择</t>
    </r>
  </si>
  <si>
    <t>XY Standard Premium Big</t>
  </si>
  <si>
    <t>¥69.64元+0.0314/克</t>
  </si>
  <si>
    <t>中国邮政
（Eub特惠）</t>
  </si>
  <si>
    <t>ePacket Economy Track</t>
  </si>
  <si>
    <t>12元+0.03元/克</t>
  </si>
  <si>
    <t>25-30天</t>
  </si>
  <si>
    <t>不超1000元人民币</t>
  </si>
  <si>
    <t>1克→5千克</t>
  </si>
  <si>
    <t>自送</t>
  </si>
  <si>
    <r>
      <rPr>
        <sz val="11"/>
        <color theme="1"/>
        <rFont val="微软雅黑"/>
        <charset val="134"/>
      </rPr>
      <t>适合重量</t>
    </r>
    <r>
      <rPr>
        <sz val="11"/>
        <color rgb="FFC00000"/>
        <rFont val="微软雅黑"/>
        <charset val="134"/>
      </rPr>
      <t>5KG内，货值1000人民币</t>
    </r>
    <r>
      <rPr>
        <sz val="11"/>
        <color theme="1"/>
        <rFont val="微软雅黑"/>
        <charset val="134"/>
      </rPr>
      <t>以内无时效要求的商品</t>
    </r>
  </si>
  <si>
    <t>中国邮政
（哈萨克斯坦）</t>
  </si>
  <si>
    <t>China Post ePacket Economy Track CIS</t>
  </si>
  <si>
    <t>1.6元+0.033元/克</t>
  </si>
  <si>
    <t>15-20天</t>
  </si>
  <si>
    <t>中国邮政
（白俄罗斯）</t>
  </si>
  <si>
    <t>China Post ePacket Economy Belarus</t>
  </si>
  <si>
    <t>13元+0.03元/克</t>
  </si>
  <si>
    <t>20-30天</t>
  </si>
  <si>
    <r>
      <rPr>
        <sz val="11"/>
        <color theme="1"/>
        <rFont val="微软雅黑"/>
        <charset val="134"/>
      </rPr>
      <t>适合重量</t>
    </r>
    <r>
      <rPr>
        <sz val="11"/>
        <color rgb="FFFF0000"/>
        <rFont val="微软雅黑"/>
        <charset val="134"/>
      </rPr>
      <t>5KG内</t>
    </r>
    <r>
      <rPr>
        <sz val="11"/>
        <color theme="1"/>
        <rFont val="微软雅黑"/>
        <charset val="134"/>
      </rPr>
      <t>无时效要求的商品</t>
    </r>
  </si>
  <si>
    <t>说明：
1、在使用过程中，在右上角输入完整的【重量+销售价值+尺寸】即可快捷查询费用；
2、运费预估会自动计算费用，同时计算的费用会按照【黄色背景标记】，如未有标记的为产品限制，可以查看限制原因；
3、该rFBS渠道合集文件归属兴远国际物流所有；以上价格仅供参考，如有实际变动请咨询群内专属客服获取最新。</t>
  </si>
  <si>
    <r>
      <t>兴远国际主要服务分别有：
WMS仓储闭环管理、中亚多仓布局、签收失败处理方案、 催促买家取货服务、一件直发/代发增值服务、</t>
    </r>
    <r>
      <rPr>
        <b/>
        <sz val="12"/>
        <color rgb="FF3108EE"/>
        <rFont val="微软雅黑"/>
        <charset val="134"/>
      </rPr>
      <t>俄语客服团队</t>
    </r>
    <r>
      <rPr>
        <sz val="12"/>
        <color rgb="FF3108EE"/>
        <rFont val="微软雅黑"/>
        <charset val="134"/>
      </rPr>
      <t>、中国专属客服、解决账单混乱、 多种干线运输等，全方位帮您解决物流问题。另外还提供一站式闭环物流服务【FBO】，包括海外仓头程运输、海外仓配套服务、海外仓最后一公里配送到门/到点。更有</t>
    </r>
    <r>
      <rPr>
        <sz val="12"/>
        <color rgb="FFC00000"/>
        <rFont val="微软雅黑"/>
        <charset val="134"/>
      </rPr>
      <t>推荐新客户有礼活动，超高福利机制</t>
    </r>
    <r>
      <rPr>
        <sz val="12"/>
        <color rgb="FF3108EE"/>
        <rFont val="微软雅黑"/>
        <charset val="134"/>
      </rPr>
      <t>等你哦！
揽收地址
*【代贴单寄货地址】</t>
    </r>
    <r>
      <rPr>
        <sz val="12"/>
        <color rgb="FF3108EE"/>
        <rFont val="Times New Roman"/>
        <charset val="134"/>
      </rPr>
      <t>​</t>
    </r>
    <r>
      <rPr>
        <sz val="12"/>
        <color rgb="FF3108EE"/>
        <rFont val="微软雅黑"/>
        <charset val="134"/>
      </rPr>
      <t xml:space="preserve">
姓名:张伟杰
地区:山东省 临沂市 兰山区
详细地址:五路与顺和街交汇顺和母幼采购基地东门沿街（1026店内）送货上门（请填写您的客户编码+备注已贴单/代贴单+拆包/不拆包）
电话：15963336383
*【已贴单寄货地址】
地区:山东省 临沂市 兰山区
详细地址:五路与顺和街交汇顺和母幼采购基地东门沿街（1026店内）送货上门（请填写您的客户编码+备注已贴单/代贴单+拆包/不拆包）
联系人：张伟杰
电话：15963336383
</t>
    </r>
  </si>
  <si>
    <t>选择兴远国际——让跨境运输跟简单！◆自有清关公司，通关畅通无阻◆自有陆运公司，保证运输时效◆边境/保税仓库，灵活运输方式◆自主研发系统，客户操作便捷◆智能分拣设备，数据精准高效◆内部智能管理，客户满意度高</t>
  </si>
  <si>
    <t>Xingyuan  Kyrgysztan  Standard Extra Small</t>
  </si>
  <si>
    <t>¥3,37+¥0,0393/g</t>
  </si>
  <si>
    <t>30-35天</t>
  </si>
  <si>
    <t>1克→500克</t>
  </si>
  <si>
    <t>Xingyuan  Kyrgysztan  Standard Budget</t>
  </si>
  <si>
    <t>¥23,83+¥0,0281/g</t>
  </si>
  <si>
    <t>501克→30千克</t>
  </si>
  <si>
    <t>Xingyuan  Kyrgysztan  Standard Small</t>
  </si>
  <si>
    <t>¥17,97+¥0,0393/g</t>
  </si>
  <si>
    <t>1克→2000克</t>
  </si>
  <si>
    <t>Xingyuan  Kyrgysztan  Standard Big</t>
  </si>
  <si>
    <t>¥40,44+¥0,0281/g</t>
  </si>
  <si>
    <t>2001克→30千克</t>
  </si>
  <si>
    <t>Xingyuan  Kyrgysztan  Standard Premium Small</t>
  </si>
  <si>
    <t>¥24,71+¥0,0393/g</t>
  </si>
  <si>
    <t>7001→18000卢布</t>
  </si>
  <si>
    <t>1克→5000克</t>
  </si>
  <si>
    <t>Xingyuan  Kyrgysztan  Standard Premium Big</t>
  </si>
  <si>
    <t>¥69,64+¥0,0314/g</t>
  </si>
  <si>
    <t>5001克→30千克</t>
  </si>
  <si>
    <r>
      <rPr>
        <sz val="12"/>
        <color rgb="FF3108EE"/>
        <rFont val="微软雅黑"/>
        <charset val="134"/>
      </rPr>
      <t>兴远国际主要服务分别有：
顺丰全国免费上门揽收服务、WMS仓储闭环管理、中亚多仓布局、签收失败处理方案、 催促买家取货服务、一件直发/代发增值服务、</t>
    </r>
    <r>
      <rPr>
        <b/>
        <sz val="12"/>
        <color rgb="FF3108EE"/>
        <rFont val="微软雅黑"/>
        <charset val="134"/>
      </rPr>
      <t>俄语客服团队</t>
    </r>
    <r>
      <rPr>
        <sz val="12"/>
        <color rgb="FF3108EE"/>
        <rFont val="微软雅黑"/>
        <charset val="134"/>
      </rPr>
      <t>、中国专属客服、解决账单混乱、 多种干线运输等，全方位帮您解决物流问题。另外还提供一站式闭环物流服务【FBO】，包括海外仓头程运输、海外仓配套服务、海外仓最后一公里配送到门/到点。更有</t>
    </r>
    <r>
      <rPr>
        <sz val="12"/>
        <color rgb="FFC00000"/>
        <rFont val="微软雅黑"/>
        <charset val="134"/>
      </rPr>
      <t>推荐新客户有礼活动，超高福利机制</t>
    </r>
    <r>
      <rPr>
        <sz val="12"/>
        <color rgb="FF3108EE"/>
        <rFont val="微软雅黑"/>
        <charset val="134"/>
      </rPr>
      <t xml:space="preserve">等你哦！
兴远广州仓库：
收件人：已贴单/代贴单
电话：18127985337  
广州仓地址：广州市白云区鹤边鹤龙二横路3号B127档OZON官方物流兴远国际（您的客户编码）
</t>
    </r>
    <r>
      <rPr>
        <sz val="12"/>
        <color rgb="FFFF0000"/>
        <rFont val="微软雅黑"/>
        <charset val="134"/>
      </rPr>
      <t>【工作时间】周一至周六，上午9：00至晚上22:30     周日，上午9:00至下午18:30</t>
    </r>
  </si>
  <si>
    <t>到取货点/到门</t>
  </si>
  <si>
    <t>运费</t>
  </si>
  <si>
    <t>挂号费</t>
  </si>
  <si>
    <t>三边之和</t>
  </si>
  <si>
    <t>重量判断
(3位小数）</t>
  </si>
  <si>
    <t>三边判断是否超90cm</t>
  </si>
  <si>
    <t>单边判断是否超60cm</t>
  </si>
  <si>
    <t>Economy</t>
  </si>
  <si>
    <t>到取货点
（PUDO）</t>
  </si>
  <si>
    <t>三边判断是否超150cm</t>
  </si>
  <si>
    <t>单边判断是否超150cm</t>
  </si>
  <si>
    <t>到门
（Courier）</t>
  </si>
  <si>
    <t>三边判断是否超250cm</t>
  </si>
  <si>
    <t>Standard</t>
  </si>
  <si>
    <t>三边判断是否超310cm</t>
  </si>
  <si>
    <t>计抛渠道对比（计抛）</t>
  </si>
  <si>
    <t>Express</t>
  </si>
  <si>
    <t>XY Express Extra Small</t>
  </si>
  <si>
    <t>¥3元+ ¥0.045/克</t>
  </si>
  <si>
    <t>XY Economy Budget
（新）</t>
  </si>
  <si>
    <t>XY Express Budget
（新）</t>
  </si>
  <si>
    <t>¥23元+ ¥0.033/1克</t>
  </si>
  <si>
    <t>XY Express Small</t>
  </si>
  <si>
    <t>¥16元+ ¥0.045/克</t>
  </si>
  <si>
    <t>XY Economy Big
（新）</t>
  </si>
  <si>
    <t>XY Express Big
（新）</t>
  </si>
  <si>
    <t>¥36元+ ¥0.033/1克</t>
  </si>
  <si>
    <t>XY Premium  Small
（高客单价小件）</t>
  </si>
  <si>
    <t>XY Express Premium Small</t>
  </si>
  <si>
    <t>¥22元+ ¥0.045/克</t>
  </si>
  <si>
    <t>XY Economy Premium Big
（新）</t>
  </si>
  <si>
    <t>XY Express Premium Big
（新）</t>
  </si>
  <si>
    <t>¥62元+ ¥0.033/1克</t>
  </si>
  <si>
    <t>¥3.12元+ ¥0.026/克</t>
  </si>
  <si>
    <t>¥23.92元+ ¥0.01768/1克</t>
  </si>
  <si>
    <t>¥16.64元+ ¥0.026/克</t>
  </si>
  <si>
    <t>¥37.44元+ ¥0.01768/1克</t>
  </si>
  <si>
    <t>¥22.88元+ ¥0.026/克</t>
  </si>
  <si>
    <t>¥64.48元+ ¥0.02392/1克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</si>
</sst>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4"/>
      <color theme="0"/>
      <name val="等线"/>
      <charset val="134"/>
    </font>
    <font>
      <b/>
      <sz val="14"/>
      <name val="等线"/>
      <charset val="134"/>
    </font>
    <font>
      <b/>
      <sz val="12"/>
      <color theme="0"/>
      <name val="微软雅黑"/>
      <charset val="134"/>
    </font>
    <font>
      <sz val="11"/>
      <name val="等线"/>
      <charset val="134"/>
    </font>
    <font>
      <b/>
      <sz val="11"/>
      <name val="等线"/>
      <charset val="134"/>
    </font>
    <font>
      <b/>
      <sz val="11"/>
      <color theme="1"/>
      <name val="等线"/>
      <charset val="134"/>
    </font>
    <font>
      <sz val="14"/>
      <name val="微软雅黑"/>
      <charset val="134"/>
    </font>
    <font>
      <b/>
      <sz val="11"/>
      <color rgb="FFC00000"/>
      <name val="等线"/>
      <charset val="134"/>
    </font>
    <font>
      <sz val="11"/>
      <color theme="1"/>
      <name val="微软雅黑"/>
      <charset val="134"/>
    </font>
    <font>
      <b/>
      <sz val="36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name val="微软雅黑"/>
      <charset val="134"/>
    </font>
    <font>
      <b/>
      <sz val="14"/>
      <color theme="0"/>
      <name val="微软雅黑"/>
      <charset val="134"/>
    </font>
    <font>
      <b/>
      <sz val="12"/>
      <color rgb="FFC00000"/>
      <name val="微软雅黑"/>
      <charset val="134"/>
    </font>
    <font>
      <b/>
      <sz val="11"/>
      <name val="微软雅黑"/>
      <charset val="134"/>
    </font>
    <font>
      <sz val="11"/>
      <color rgb="FFC00000"/>
      <name val="微软雅黑"/>
      <charset val="134"/>
    </font>
    <font>
      <b/>
      <sz val="14"/>
      <color theme="1"/>
      <name val="方正醒黑 细体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sz val="12"/>
      <color rgb="FFC00000"/>
      <name val="微软雅黑"/>
      <charset val="134"/>
    </font>
    <font>
      <sz val="12"/>
      <color rgb="FF3108EE"/>
      <name val="微软雅黑"/>
      <charset val="134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4"/>
      <color theme="0"/>
      <name val="微软雅黑"/>
      <charset val="134"/>
    </font>
    <font>
      <b/>
      <sz val="12"/>
      <color rgb="FF3108EE"/>
      <name val="微软雅黑"/>
      <charset val="134"/>
    </font>
    <font>
      <sz val="12"/>
      <color rgb="FFFF0000"/>
      <name val="微软雅黑"/>
      <charset val="134"/>
    </font>
    <font>
      <sz val="10"/>
      <color rgb="FFFF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rgb="FFFF0000"/>
      <name val="微软雅黑"/>
      <charset val="134"/>
    </font>
    <font>
      <sz val="12"/>
      <color rgb="FF3108EE"/>
      <name val="Times New Roman"/>
      <charset val="134"/>
    </font>
    <font>
      <sz val="16"/>
      <name val="黑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6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7E7DD"/>
        <bgColor indexed="64"/>
      </patternFill>
    </fill>
    <fill>
      <patternFill patternType="solid">
        <fgColor rgb="FF3108EE"/>
        <bgColor indexed="64"/>
      </patternFill>
    </fill>
    <fill>
      <patternFill patternType="solid">
        <fgColor rgb="FF2E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4" borderId="16" applyNumberFormat="0" applyAlignment="0" applyProtection="0">
      <alignment vertical="center"/>
    </xf>
    <xf numFmtId="0" fontId="37" fillId="15" borderId="17" applyNumberFormat="0" applyAlignment="0" applyProtection="0">
      <alignment vertical="center"/>
    </xf>
    <xf numFmtId="0" fontId="38" fillId="15" borderId="16" applyNumberFormat="0" applyAlignment="0" applyProtection="0">
      <alignment vertical="center"/>
    </xf>
    <xf numFmtId="0" fontId="39" fillId="16" borderId="18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wrapText="1"/>
    </xf>
    <xf numFmtId="0" fontId="13" fillId="0" borderId="0" xfId="0" applyFont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20" fillId="0" borderId="2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1" fillId="7" borderId="0" xfId="0" applyFont="1" applyFill="1" applyBorder="1" applyAlignment="1">
      <alignment horizontal="left" vertical="center" wrapText="1"/>
    </xf>
    <xf numFmtId="0" fontId="21" fillId="7" borderId="0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 wrapText="1"/>
    </xf>
    <xf numFmtId="0" fontId="21" fillId="7" borderId="0" xfId="0" applyFont="1" applyFill="1" applyBorder="1" applyAlignment="1" applyProtection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wrapText="1"/>
    </xf>
    <xf numFmtId="0" fontId="14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 applyProtection="1">
      <alignment horizontal="center" vertical="center" wrapText="1"/>
    </xf>
    <xf numFmtId="0" fontId="21" fillId="7" borderId="8" xfId="0" applyFont="1" applyFill="1" applyBorder="1" applyAlignment="1" applyProtection="1">
      <alignment horizontal="center" vertical="center" wrapText="1"/>
    </xf>
    <xf numFmtId="0" fontId="21" fillId="7" borderId="9" xfId="0" applyFont="1" applyFill="1" applyBorder="1" applyAlignment="1" applyProtection="1">
      <alignment horizontal="center" vertical="center" wrapText="1"/>
    </xf>
    <xf numFmtId="0" fontId="21" fillId="7" borderId="10" xfId="0" applyFont="1" applyFill="1" applyBorder="1" applyAlignment="1" applyProtection="1">
      <alignment horizontal="center" vertical="center" wrapText="1"/>
    </xf>
    <xf numFmtId="0" fontId="21" fillId="7" borderId="11" xfId="0" applyFont="1" applyFill="1" applyBorder="1" applyAlignment="1" applyProtection="1">
      <alignment horizontal="center" vertical="center" wrapText="1"/>
    </xf>
    <xf numFmtId="0" fontId="21" fillId="7" borderId="12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A19AAC"/>
      <color rgb="00C9B7EC"/>
      <color rgb="00EDFFD7"/>
      <color rgb="00C2F7FB"/>
      <color rgb="008A9FF6"/>
      <color rgb="00B6BAFF"/>
      <color rgb="00D7E7DD"/>
      <color rgb="00FF0000"/>
      <color rgb="00FFFF00"/>
      <color rgb="003108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139065</xdr:colOff>
      <xdr:row>0</xdr:row>
      <xdr:rowOff>90170</xdr:rowOff>
    </xdr:from>
    <xdr:to>
      <xdr:col>3</xdr:col>
      <xdr:colOff>546735</xdr:colOff>
      <xdr:row>0</xdr:row>
      <xdr:rowOff>1061720</xdr:rowOff>
    </xdr:to>
    <xdr:pic>
      <xdr:nvPicPr>
        <xdr:cNvPr id="3" name="图片 2" descr="兴远logo长条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065" y="90170"/>
          <a:ext cx="3663315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139065</xdr:colOff>
      <xdr:row>0</xdr:row>
      <xdr:rowOff>90170</xdr:rowOff>
    </xdr:from>
    <xdr:to>
      <xdr:col>3</xdr:col>
      <xdr:colOff>546735</xdr:colOff>
      <xdr:row>0</xdr:row>
      <xdr:rowOff>1061720</xdr:rowOff>
    </xdr:to>
    <xdr:pic>
      <xdr:nvPicPr>
        <xdr:cNvPr id="2" name="图片 1" descr="兴远logo长条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065" y="90170"/>
          <a:ext cx="3663315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9"/>
  <sheetViews>
    <sheetView showGridLines="0" tabSelected="1" zoomScale="70" zoomScaleNormal="70" topLeftCell="E1" workbookViewId="0">
      <pane ySplit="2" topLeftCell="A3" activePane="bottomLeft" state="frozen"/>
      <selection/>
      <selection pane="bottomLeft" activeCell="Q18" sqref="Q18"/>
    </sheetView>
  </sheetViews>
  <sheetFormatPr defaultColWidth="9" defaultRowHeight="44" customHeight="1"/>
  <cols>
    <col min="1" max="1" width="5.725" style="31" customWidth="1"/>
    <col min="2" max="3" width="18.5" style="31" customWidth="1"/>
    <col min="4" max="4" width="34.3916666666667" style="31" customWidth="1"/>
    <col min="5" max="5" width="21.175" style="31" customWidth="1"/>
    <col min="6" max="8" width="17.5" style="31" customWidth="1"/>
    <col min="9" max="9" width="20.4333333333333" style="31" customWidth="1"/>
    <col min="10" max="11" width="25" style="31" customWidth="1"/>
    <col min="12" max="12" width="20.725" style="31" customWidth="1"/>
    <col min="13" max="13" width="19.4083333333333" style="31" customWidth="1"/>
    <col min="14" max="15" width="4.7" style="31" customWidth="1"/>
    <col min="16" max="16" width="16.025" style="31" customWidth="1"/>
    <col min="17" max="18" width="19.5916666666667" style="31" customWidth="1"/>
    <col min="19" max="20" width="12.3416666666667" style="31" customWidth="1"/>
    <col min="21" max="21" width="24.1833333333333" style="31" customWidth="1"/>
    <col min="22" max="22" width="28.0333333333333" style="31" customWidth="1"/>
    <col min="23" max="28" width="9" style="31" customWidth="1"/>
    <col min="29" max="16384" width="9" style="31"/>
  </cols>
  <sheetData>
    <row r="1" ht="91" customHeight="1" spans="1:22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 t="s">
        <v>1</v>
      </c>
      <c r="P1" s="30" t="s">
        <v>2</v>
      </c>
      <c r="Q1" s="30" t="s">
        <v>3</v>
      </c>
      <c r="R1" s="30" t="s">
        <v>4</v>
      </c>
      <c r="S1" s="30"/>
      <c r="T1" s="30"/>
      <c r="U1" s="34"/>
      <c r="V1" s="34"/>
    </row>
    <row r="2" ht="64" customHeight="1" spans="1:22">
      <c r="A2" s="63" t="s">
        <v>5</v>
      </c>
      <c r="B2" s="63" t="s">
        <v>6</v>
      </c>
      <c r="C2" s="63" t="s">
        <v>7</v>
      </c>
      <c r="D2" s="63" t="s">
        <v>8</v>
      </c>
      <c r="E2" s="63" t="s">
        <v>9</v>
      </c>
      <c r="F2" s="63" t="s">
        <v>10</v>
      </c>
      <c r="G2" s="63" t="s">
        <v>11</v>
      </c>
      <c r="H2" s="63" t="s">
        <v>12</v>
      </c>
      <c r="I2" s="63" t="s">
        <v>13</v>
      </c>
      <c r="J2" s="63" t="s">
        <v>14</v>
      </c>
      <c r="K2" s="63" t="s">
        <v>15</v>
      </c>
      <c r="L2" s="63" t="s">
        <v>16</v>
      </c>
      <c r="M2" s="63" t="s">
        <v>17</v>
      </c>
      <c r="P2" s="16">
        <v>0.5</v>
      </c>
      <c r="Q2" s="16">
        <v>5000</v>
      </c>
      <c r="R2" s="16">
        <v>54</v>
      </c>
      <c r="S2" s="16">
        <v>54</v>
      </c>
      <c r="T2" s="16">
        <v>4</v>
      </c>
      <c r="U2" s="34"/>
      <c r="V2" s="34"/>
    </row>
    <row r="3" customHeight="1" spans="1:22">
      <c r="A3" s="37" t="s">
        <v>18</v>
      </c>
      <c r="B3" s="38" t="s">
        <v>19</v>
      </c>
      <c r="C3" s="38" t="s">
        <v>20</v>
      </c>
      <c r="D3" s="39" t="s">
        <v>21</v>
      </c>
      <c r="E3" s="39" t="s">
        <v>22</v>
      </c>
      <c r="F3" s="40" t="s">
        <v>23</v>
      </c>
      <c r="G3" s="39" t="str">
        <f>俄罗斯公式!H2</f>
        <v>货值超渠道限制</v>
      </c>
      <c r="H3" s="41" t="s">
        <v>24</v>
      </c>
      <c r="I3" s="41" t="s">
        <v>25</v>
      </c>
      <c r="J3" s="41" t="s">
        <v>26</v>
      </c>
      <c r="K3" s="40" t="s">
        <v>27</v>
      </c>
      <c r="L3" s="41" t="s">
        <v>28</v>
      </c>
      <c r="M3" s="42" t="s">
        <v>29</v>
      </c>
      <c r="P3" s="64" t="s">
        <v>30</v>
      </c>
      <c r="Q3" s="64"/>
      <c r="R3" s="64"/>
      <c r="S3" s="64"/>
      <c r="T3" s="64"/>
      <c r="U3" s="64"/>
      <c r="V3" s="64"/>
    </row>
    <row r="4" customHeight="1" spans="1:22">
      <c r="A4" s="37"/>
      <c r="B4" s="65"/>
      <c r="C4" s="38" t="s">
        <v>31</v>
      </c>
      <c r="D4" s="39" t="s">
        <v>32</v>
      </c>
      <c r="E4" s="39" t="s">
        <v>33</v>
      </c>
      <c r="F4" s="40" t="s">
        <v>34</v>
      </c>
      <c r="G4" s="39" t="str">
        <f>俄罗斯公式!H4</f>
        <v>货值超渠道限制</v>
      </c>
      <c r="H4" s="66"/>
      <c r="I4" s="66"/>
      <c r="J4" s="66"/>
      <c r="K4" s="45"/>
      <c r="L4" s="66"/>
      <c r="M4" s="67"/>
      <c r="P4" s="68" t="s">
        <v>35</v>
      </c>
      <c r="Q4" s="68"/>
      <c r="R4" s="68"/>
      <c r="S4" s="68"/>
      <c r="T4" s="68"/>
      <c r="U4" s="68"/>
      <c r="V4" s="68"/>
    </row>
    <row r="5" ht="48" customHeight="1" spans="1:22">
      <c r="A5" s="37"/>
      <c r="B5" s="38" t="s">
        <v>36</v>
      </c>
      <c r="C5" s="38" t="s">
        <v>20</v>
      </c>
      <c r="D5" s="39" t="s">
        <v>37</v>
      </c>
      <c r="E5" s="39" t="s">
        <v>38</v>
      </c>
      <c r="F5" s="42" t="s">
        <v>23</v>
      </c>
      <c r="G5" s="39" t="str">
        <f>俄罗斯公式!H8</f>
        <v>货值超渠道限制</v>
      </c>
      <c r="H5" s="41" t="s">
        <v>24</v>
      </c>
      <c r="I5" s="41" t="s">
        <v>39</v>
      </c>
      <c r="J5" s="41" t="s">
        <v>40</v>
      </c>
      <c r="K5" s="45"/>
      <c r="L5" s="66"/>
      <c r="M5" s="42" t="s">
        <v>41</v>
      </c>
      <c r="P5" s="68" t="s">
        <v>42</v>
      </c>
      <c r="Q5" s="68"/>
      <c r="R5" s="68"/>
      <c r="S5" s="68"/>
      <c r="T5" s="68"/>
      <c r="U5" s="68"/>
      <c r="V5" s="68"/>
    </row>
    <row r="6" ht="48" customHeight="1" spans="1:22">
      <c r="A6" s="37"/>
      <c r="B6" s="65"/>
      <c r="C6" s="38" t="s">
        <v>31</v>
      </c>
      <c r="D6" s="44" t="s">
        <v>43</v>
      </c>
      <c r="E6" s="44" t="s">
        <v>44</v>
      </c>
      <c r="F6" s="42" t="s">
        <v>34</v>
      </c>
      <c r="G6" s="39" t="str">
        <f>俄罗斯公式!H10</f>
        <v>货值超渠道限制</v>
      </c>
      <c r="H6" s="66"/>
      <c r="I6" s="66"/>
      <c r="J6" s="66"/>
      <c r="K6" s="45"/>
      <c r="L6" s="66"/>
      <c r="M6" s="67"/>
      <c r="P6" s="68" t="s">
        <v>45</v>
      </c>
      <c r="Q6" s="68"/>
      <c r="R6" s="68"/>
      <c r="S6" s="68"/>
      <c r="T6" s="68"/>
      <c r="U6" s="68"/>
      <c r="V6" s="68"/>
    </row>
    <row r="7" customHeight="1" spans="1:22">
      <c r="A7" s="37"/>
      <c r="B7" s="47" t="s">
        <v>46</v>
      </c>
      <c r="C7" s="38" t="s">
        <v>20</v>
      </c>
      <c r="D7" s="44" t="s">
        <v>47</v>
      </c>
      <c r="E7" s="44" t="s">
        <v>48</v>
      </c>
      <c r="F7" s="42" t="s">
        <v>23</v>
      </c>
      <c r="G7" s="39" t="str">
        <f>俄罗斯公式!H14</f>
        <v>32.02元</v>
      </c>
      <c r="H7" s="41" t="s">
        <v>49</v>
      </c>
      <c r="I7" s="41" t="s">
        <v>50</v>
      </c>
      <c r="J7" s="41" t="s">
        <v>40</v>
      </c>
      <c r="K7" s="45"/>
      <c r="L7" s="66"/>
      <c r="M7" s="42" t="s">
        <v>51</v>
      </c>
      <c r="P7" s="68" t="s">
        <v>52</v>
      </c>
      <c r="Q7" s="68"/>
      <c r="R7" s="68"/>
      <c r="S7" s="68"/>
      <c r="T7" s="68"/>
      <c r="U7" s="68"/>
      <c r="V7" s="68"/>
    </row>
    <row r="8" customHeight="1" spans="1:22">
      <c r="A8" s="37"/>
      <c r="B8" s="69"/>
      <c r="C8" s="38" t="s">
        <v>31</v>
      </c>
      <c r="D8" s="44" t="s">
        <v>53</v>
      </c>
      <c r="E8" s="44" t="s">
        <v>54</v>
      </c>
      <c r="F8" s="42" t="s">
        <v>34</v>
      </c>
      <c r="G8" s="39" t="str">
        <f>俄罗斯公式!H16</f>
        <v>37.62元</v>
      </c>
      <c r="H8" s="66"/>
      <c r="I8" s="66"/>
      <c r="J8" s="66"/>
      <c r="K8" s="45"/>
      <c r="L8" s="66"/>
      <c r="M8" s="67"/>
      <c r="P8" s="70" t="s">
        <v>55</v>
      </c>
      <c r="Q8" s="71" t="s">
        <v>56</v>
      </c>
      <c r="R8" s="72"/>
      <c r="S8" s="73" t="s">
        <v>57</v>
      </c>
      <c r="T8" s="74"/>
      <c r="U8" s="75" t="s">
        <v>58</v>
      </c>
      <c r="V8" s="76" t="s">
        <v>59</v>
      </c>
    </row>
    <row r="9" customHeight="1" spans="1:22">
      <c r="A9" s="37"/>
      <c r="B9" s="47" t="s">
        <v>60</v>
      </c>
      <c r="C9" s="38" t="s">
        <v>20</v>
      </c>
      <c r="D9" s="44" t="s">
        <v>61</v>
      </c>
      <c r="E9" s="44" t="s">
        <v>62</v>
      </c>
      <c r="F9" s="42" t="s">
        <v>23</v>
      </c>
      <c r="G9" s="39" t="str">
        <f>俄罗斯公式!H20</f>
        <v>重量限制2201G</v>
      </c>
      <c r="H9" s="41" t="s">
        <v>49</v>
      </c>
      <c r="I9" s="41" t="s">
        <v>63</v>
      </c>
      <c r="J9" s="41" t="s">
        <v>64</v>
      </c>
      <c r="K9" s="38" t="s">
        <v>65</v>
      </c>
      <c r="L9" s="66"/>
      <c r="M9" s="42" t="s">
        <v>66</v>
      </c>
      <c r="P9" s="77" t="s">
        <v>67</v>
      </c>
      <c r="Q9" s="78" t="s">
        <v>68</v>
      </c>
      <c r="R9" s="78"/>
      <c r="S9" s="78" t="s">
        <v>69</v>
      </c>
      <c r="T9" s="78"/>
      <c r="U9" s="79" t="s">
        <v>70</v>
      </c>
      <c r="V9" s="80" t="s">
        <v>71</v>
      </c>
    </row>
    <row r="10" customHeight="1" spans="1:22">
      <c r="A10" s="37"/>
      <c r="B10" s="69"/>
      <c r="C10" s="38" t="s">
        <v>31</v>
      </c>
      <c r="D10" s="44" t="s">
        <v>72</v>
      </c>
      <c r="E10" s="44" t="s">
        <v>73</v>
      </c>
      <c r="F10" s="42" t="s">
        <v>34</v>
      </c>
      <c r="G10" s="39" t="str">
        <f>俄罗斯公式!H22</f>
        <v>重量限制2201G</v>
      </c>
      <c r="H10" s="66"/>
      <c r="I10" s="66"/>
      <c r="J10" s="66"/>
      <c r="K10" s="65"/>
      <c r="L10" s="66"/>
      <c r="M10" s="67"/>
      <c r="P10" s="77" t="s">
        <v>74</v>
      </c>
      <c r="Q10" s="81" t="s">
        <v>75</v>
      </c>
      <c r="R10" s="82"/>
      <c r="S10" s="82"/>
      <c r="T10" s="83"/>
      <c r="U10" s="79"/>
      <c r="V10" s="80"/>
    </row>
    <row r="11" customHeight="1" spans="1:22">
      <c r="A11" s="37"/>
      <c r="B11" s="47" t="s">
        <v>76</v>
      </c>
      <c r="C11" s="38" t="s">
        <v>20</v>
      </c>
      <c r="D11" s="44" t="s">
        <v>77</v>
      </c>
      <c r="E11" s="44" t="s">
        <v>78</v>
      </c>
      <c r="F11" s="42" t="s">
        <v>23</v>
      </c>
      <c r="G11" s="39" t="str">
        <f>俄罗斯公式!H26</f>
        <v>货值小于渠道限制</v>
      </c>
      <c r="H11" s="41" t="s">
        <v>79</v>
      </c>
      <c r="I11" s="41" t="s">
        <v>80</v>
      </c>
      <c r="J11" s="41" t="s">
        <v>81</v>
      </c>
      <c r="K11" s="40" t="s">
        <v>27</v>
      </c>
      <c r="L11" s="66"/>
      <c r="M11" s="42" t="s">
        <v>82</v>
      </c>
      <c r="P11" s="77"/>
      <c r="Q11" s="84"/>
      <c r="R11" s="85"/>
      <c r="S11" s="85"/>
      <c r="T11" s="86"/>
      <c r="U11" s="79"/>
      <c r="V11" s="80"/>
    </row>
    <row r="12" customHeight="1" spans="1:22">
      <c r="A12" s="37"/>
      <c r="B12" s="69"/>
      <c r="C12" s="38" t="s">
        <v>31</v>
      </c>
      <c r="D12" s="44" t="s">
        <v>83</v>
      </c>
      <c r="E12" s="44" t="s">
        <v>84</v>
      </c>
      <c r="F12" s="42" t="s">
        <v>34</v>
      </c>
      <c r="G12" s="39" t="str">
        <f>俄罗斯公式!H28</f>
        <v>货值小于渠道限制</v>
      </c>
      <c r="H12" s="66"/>
      <c r="I12" s="66"/>
      <c r="J12" s="66"/>
      <c r="K12" s="45"/>
      <c r="L12" s="66"/>
      <c r="M12" s="67"/>
      <c r="P12" s="87" t="s">
        <v>85</v>
      </c>
      <c r="Q12" s="87"/>
      <c r="R12" s="87"/>
      <c r="S12" s="87"/>
      <c r="T12" s="87"/>
      <c r="U12" s="87"/>
      <c r="V12" s="87"/>
    </row>
    <row r="13" customHeight="1" spans="1:22">
      <c r="A13" s="37"/>
      <c r="B13" s="53" t="s">
        <v>86</v>
      </c>
      <c r="C13" s="38" t="s">
        <v>20</v>
      </c>
      <c r="D13" s="44" t="s">
        <v>87</v>
      </c>
      <c r="E13" s="44" t="s">
        <v>88</v>
      </c>
      <c r="F13" s="42" t="s">
        <v>23</v>
      </c>
      <c r="G13" s="39" t="str">
        <f>俄罗斯公式!H32</f>
        <v>货值小于渠道限制</v>
      </c>
      <c r="H13" s="54" t="s">
        <v>79</v>
      </c>
      <c r="I13" s="54" t="s">
        <v>89</v>
      </c>
      <c r="J13" s="54" t="s">
        <v>64</v>
      </c>
      <c r="K13" s="55" t="s">
        <v>65</v>
      </c>
      <c r="L13" s="66"/>
      <c r="M13" s="44" t="s">
        <v>90</v>
      </c>
    </row>
    <row r="14" customHeight="1" spans="1:22">
      <c r="A14" s="37"/>
      <c r="B14" s="53"/>
      <c r="C14" s="38" t="s">
        <v>31</v>
      </c>
      <c r="D14" s="44" t="s">
        <v>91</v>
      </c>
      <c r="E14" s="44" t="s">
        <v>92</v>
      </c>
      <c r="F14" s="42" t="s">
        <v>34</v>
      </c>
      <c r="G14" s="39" t="str">
        <f>俄罗斯公式!H34</f>
        <v>货值小于渠道限制</v>
      </c>
      <c r="H14" s="54"/>
      <c r="I14" s="54"/>
      <c r="J14" s="54"/>
      <c r="K14" s="55"/>
      <c r="L14" s="88"/>
      <c r="M14" s="44"/>
    </row>
    <row r="15" ht="46" hidden="1" customHeight="1" spans="1:22">
      <c r="A15" s="37"/>
      <c r="B15" s="53" t="s">
        <v>93</v>
      </c>
      <c r="C15" s="56"/>
      <c r="D15" s="44" t="s">
        <v>94</v>
      </c>
      <c r="E15" s="44" t="s">
        <v>95</v>
      </c>
      <c r="F15" s="44" t="s">
        <v>96</v>
      </c>
      <c r="G15" s="44"/>
      <c r="H15" s="54" t="s">
        <v>97</v>
      </c>
      <c r="I15" s="54" t="s">
        <v>98</v>
      </c>
      <c r="J15" s="54" t="s">
        <v>26</v>
      </c>
      <c r="K15" s="54"/>
      <c r="L15" s="54" t="s">
        <v>99</v>
      </c>
      <c r="M15" s="44" t="s">
        <v>100</v>
      </c>
    </row>
    <row r="16" ht="46" hidden="1" customHeight="1" spans="1:22">
      <c r="A16" s="37"/>
      <c r="B16" s="53" t="s">
        <v>101</v>
      </c>
      <c r="C16" s="56"/>
      <c r="D16" s="44" t="s">
        <v>102</v>
      </c>
      <c r="E16" s="44" t="s">
        <v>103</v>
      </c>
      <c r="F16" s="44" t="s">
        <v>104</v>
      </c>
      <c r="G16" s="44"/>
      <c r="H16" s="54"/>
      <c r="I16" s="54"/>
      <c r="J16" s="54"/>
      <c r="K16" s="54"/>
      <c r="L16" s="54"/>
      <c r="M16" s="44"/>
    </row>
    <row r="17" ht="61" hidden="1" customHeight="1" spans="1:13">
      <c r="A17" s="37"/>
      <c r="B17" s="53" t="s">
        <v>105</v>
      </c>
      <c r="C17" s="57"/>
      <c r="D17" s="44" t="s">
        <v>106</v>
      </c>
      <c r="E17" s="44" t="s">
        <v>107</v>
      </c>
      <c r="F17" s="44" t="s">
        <v>108</v>
      </c>
      <c r="G17" s="44"/>
      <c r="H17" s="54"/>
      <c r="I17" s="54"/>
      <c r="J17" s="54"/>
      <c r="K17" s="54"/>
      <c r="L17" s="54"/>
      <c r="M17" s="44" t="s">
        <v>109</v>
      </c>
    </row>
    <row r="18" ht="293" customHeight="1" spans="1:13">
      <c r="A18" s="58" t="s">
        <v>110</v>
      </c>
      <c r="B18" s="58"/>
      <c r="C18" s="58"/>
      <c r="D18" s="58"/>
      <c r="E18" s="58"/>
      <c r="F18" s="58"/>
      <c r="G18" s="59" t="s">
        <v>111</v>
      </c>
      <c r="H18" s="59"/>
      <c r="I18" s="59"/>
      <c r="J18" s="59"/>
      <c r="K18" s="59"/>
      <c r="L18" s="59"/>
      <c r="M18" s="59"/>
    </row>
    <row r="19" ht="43" customHeight="1" spans="1:13">
      <c r="A19" s="89" t="s">
        <v>112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</row>
  </sheetData>
  <sheetProtection sheet="1" objects="1"/>
  <protectedRanges>
    <protectedRange sqref="P2:T2" name="区域1"/>
  </protectedRanges>
  <mergeCells count="62">
    <mergeCell ref="A1:L1"/>
    <mergeCell ref="R1:T1"/>
    <mergeCell ref="P3:V3"/>
    <mergeCell ref="P4:V4"/>
    <mergeCell ref="P5:V5"/>
    <mergeCell ref="P6:V6"/>
    <mergeCell ref="P7:V7"/>
    <mergeCell ref="Q8:R8"/>
    <mergeCell ref="S8:T8"/>
    <mergeCell ref="Q9:R9"/>
    <mergeCell ref="S9:T9"/>
    <mergeCell ref="P12:V12"/>
    <mergeCell ref="A18:F18"/>
    <mergeCell ref="G18:M18"/>
    <mergeCell ref="A19:M19"/>
    <mergeCell ref="A3:A17"/>
    <mergeCell ref="B3:B4"/>
    <mergeCell ref="B5:B6"/>
    <mergeCell ref="B7:B8"/>
    <mergeCell ref="B9:B10"/>
    <mergeCell ref="B11:B12"/>
    <mergeCell ref="B13:B14"/>
    <mergeCell ref="C15:C17"/>
    <mergeCell ref="H3:H4"/>
    <mergeCell ref="H5:H6"/>
    <mergeCell ref="H7:H8"/>
    <mergeCell ref="H9:H10"/>
    <mergeCell ref="H11:H12"/>
    <mergeCell ref="H13:H14"/>
    <mergeCell ref="H15:H17"/>
    <mergeCell ref="I3:I4"/>
    <mergeCell ref="I5:I6"/>
    <mergeCell ref="I7:I8"/>
    <mergeCell ref="I9:I10"/>
    <mergeCell ref="I11:I12"/>
    <mergeCell ref="I13:I14"/>
    <mergeCell ref="I15:I17"/>
    <mergeCell ref="J3:J4"/>
    <mergeCell ref="J5:J6"/>
    <mergeCell ref="J7:J8"/>
    <mergeCell ref="J9:J10"/>
    <mergeCell ref="J11:J12"/>
    <mergeCell ref="J13:J14"/>
    <mergeCell ref="J15:J17"/>
    <mergeCell ref="K3:K8"/>
    <mergeCell ref="K9:K10"/>
    <mergeCell ref="K11:K12"/>
    <mergeCell ref="K13:K14"/>
    <mergeCell ref="L3:L14"/>
    <mergeCell ref="L15:L17"/>
    <mergeCell ref="M3:M4"/>
    <mergeCell ref="M5:M6"/>
    <mergeCell ref="M7:M8"/>
    <mergeCell ref="M9:M10"/>
    <mergeCell ref="M11:M12"/>
    <mergeCell ref="M13:M14"/>
    <mergeCell ref="M15:M16"/>
    <mergeCell ref="P10:P11"/>
    <mergeCell ref="U9:U11"/>
    <mergeCell ref="V9:V11"/>
    <mergeCell ref="U1:V2"/>
    <mergeCell ref="Q10:T11"/>
  </mergeCells>
  <conditionalFormatting sqref="G2">
    <cfRule type="containsText" dxfId="0" priority="1" operator="between" text="元">
      <formula>NOT(ISERROR(SEARCH("元",G2)))</formula>
    </cfRule>
  </conditionalFormatting>
  <conditionalFormatting sqref="N20:N1048576">
    <cfRule type="containsText" dxfId="0" priority="5" operator="between" text="元">
      <formula>NOT(ISERROR(SEARCH("元",N20)))</formula>
    </cfRule>
  </conditionalFormatting>
  <conditionalFormatting sqref="N2 G3 N3 G4 N4 G5 N5 G6 N6 G7 N7 G8 N8 G9 N9 G10 N10 G11 N11 G12 N12 G13 N13 G14 N14:N17">
    <cfRule type="containsText" dxfId="0" priority="3" operator="between" text="元">
      <formula>NOT(ISERROR(SEARCH("元",G2)))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showGridLines="0" zoomScale="85" zoomScaleNormal="85" topLeftCell="C1" workbookViewId="0">
      <pane ySplit="2" topLeftCell="A3" activePane="bottomLeft" state="frozen"/>
      <selection/>
      <selection pane="bottomLeft" activeCell="H4" sqref="H4"/>
    </sheetView>
  </sheetViews>
  <sheetFormatPr defaultColWidth="9" defaultRowHeight="44" customHeight="1"/>
  <cols>
    <col min="1" max="1" width="5.725" style="31" customWidth="1"/>
    <col min="2" max="3" width="18.5" style="31" customWidth="1"/>
    <col min="4" max="4" width="34.3916666666667" style="31" customWidth="1"/>
    <col min="5" max="5" width="21.175" style="31" customWidth="1"/>
    <col min="6" max="8" width="17.5" style="31" customWidth="1"/>
    <col min="9" max="9" width="20.4333333333333" style="31" customWidth="1"/>
    <col min="10" max="11" width="25" style="31" customWidth="1"/>
    <col min="12" max="12" width="19.4083333333333" style="31" customWidth="1"/>
    <col min="13" max="14" width="4.7" style="31" customWidth="1"/>
    <col min="15" max="15" width="16.025" style="31" customWidth="1"/>
    <col min="16" max="17" width="19.5916666666667" style="31" customWidth="1"/>
    <col min="18" max="19" width="12.3416666666667" style="31" customWidth="1"/>
    <col min="20" max="20" width="24.1833333333333" style="31" customWidth="1"/>
    <col min="21" max="21" width="28.0333333333333" style="31" customWidth="1"/>
    <col min="22" max="27" width="9" style="31" customWidth="1"/>
    <col min="28" max="16384" width="9" style="31"/>
  </cols>
  <sheetData>
    <row r="1" ht="91" customHeight="1" spans="1:2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 t="s">
        <v>1</v>
      </c>
      <c r="O1" s="6" t="s">
        <v>2</v>
      </c>
      <c r="P1" s="6" t="s">
        <v>3</v>
      </c>
      <c r="Q1" s="6" t="s">
        <v>4</v>
      </c>
      <c r="R1" s="6"/>
      <c r="S1" s="6"/>
      <c r="T1" s="34"/>
      <c r="U1" s="34"/>
    </row>
    <row r="2" ht="64" customHeight="1" spans="1:21">
      <c r="A2" s="35" t="s">
        <v>5</v>
      </c>
      <c r="B2" s="35" t="s">
        <v>6</v>
      </c>
      <c r="C2" s="35" t="s">
        <v>7</v>
      </c>
      <c r="D2" s="35" t="s">
        <v>8</v>
      </c>
      <c r="E2" s="35" t="s">
        <v>9</v>
      </c>
      <c r="F2" s="35" t="s">
        <v>10</v>
      </c>
      <c r="G2" s="35" t="s">
        <v>11</v>
      </c>
      <c r="H2" s="35" t="s">
        <v>12</v>
      </c>
      <c r="I2" s="35" t="s">
        <v>13</v>
      </c>
      <c r="J2" s="35" t="s">
        <v>14</v>
      </c>
      <c r="K2" s="35" t="s">
        <v>15</v>
      </c>
      <c r="L2" s="35" t="s">
        <v>17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T2" s="34"/>
      <c r="U2" s="34"/>
    </row>
    <row r="3" customHeight="1" spans="1:21">
      <c r="A3" s="37" t="s">
        <v>18</v>
      </c>
      <c r="B3" s="38" t="s">
        <v>19</v>
      </c>
      <c r="C3" s="38" t="s">
        <v>31</v>
      </c>
      <c r="D3" s="39" t="s">
        <v>113</v>
      </c>
      <c r="E3" s="39" t="s">
        <v>114</v>
      </c>
      <c r="F3" s="40" t="s">
        <v>115</v>
      </c>
      <c r="G3" s="39" t="str">
        <f>吉尔吉斯公式!H4</f>
        <v>请检查重量</v>
      </c>
      <c r="H3" s="41" t="s">
        <v>24</v>
      </c>
      <c r="I3" s="41" t="s">
        <v>116</v>
      </c>
      <c r="J3" s="41" t="s">
        <v>26</v>
      </c>
      <c r="K3" s="40" t="s">
        <v>27</v>
      </c>
      <c r="L3" s="42" t="s">
        <v>29</v>
      </c>
      <c r="O3" s="43"/>
      <c r="P3" s="43"/>
      <c r="Q3" s="43"/>
      <c r="R3" s="43"/>
      <c r="S3" s="43"/>
      <c r="T3" s="43"/>
      <c r="U3" s="43"/>
    </row>
    <row r="4" ht="48" customHeight="1" spans="1:21">
      <c r="A4" s="37"/>
      <c r="B4" s="38" t="s">
        <v>36</v>
      </c>
      <c r="C4" s="38" t="s">
        <v>31</v>
      </c>
      <c r="D4" s="44" t="s">
        <v>117</v>
      </c>
      <c r="E4" s="44" t="s">
        <v>118</v>
      </c>
      <c r="F4" s="42" t="s">
        <v>115</v>
      </c>
      <c r="G4" s="39" t="str">
        <f>吉尔吉斯公式!H10</f>
        <v>请检查重量</v>
      </c>
      <c r="H4" s="41" t="s">
        <v>24</v>
      </c>
      <c r="I4" s="41" t="s">
        <v>119</v>
      </c>
      <c r="J4" s="41" t="s">
        <v>40</v>
      </c>
      <c r="K4" s="45"/>
      <c r="L4" s="42" t="s">
        <v>41</v>
      </c>
      <c r="O4" s="46"/>
      <c r="P4" s="46"/>
      <c r="Q4" s="46"/>
      <c r="R4" s="46"/>
      <c r="S4" s="46"/>
      <c r="T4" s="46"/>
      <c r="U4" s="46"/>
    </row>
    <row r="5" customHeight="1" spans="1:21">
      <c r="A5" s="37"/>
      <c r="B5" s="47" t="s">
        <v>46</v>
      </c>
      <c r="C5" s="38" t="s">
        <v>31</v>
      </c>
      <c r="D5" s="44" t="s">
        <v>120</v>
      </c>
      <c r="E5" s="44" t="s">
        <v>121</v>
      </c>
      <c r="F5" s="42" t="s">
        <v>115</v>
      </c>
      <c r="G5" s="39" t="str">
        <f>吉尔吉斯公式!H16</f>
        <v>请检查重量</v>
      </c>
      <c r="H5" s="41" t="s">
        <v>49</v>
      </c>
      <c r="I5" s="41" t="s">
        <v>122</v>
      </c>
      <c r="J5" s="41" t="s">
        <v>40</v>
      </c>
      <c r="K5" s="45"/>
      <c r="L5" s="42" t="s">
        <v>51</v>
      </c>
      <c r="O5" s="46"/>
      <c r="P5" s="46"/>
      <c r="Q5" s="46"/>
      <c r="R5" s="46"/>
      <c r="S5" s="46"/>
      <c r="T5" s="46"/>
      <c r="U5" s="46"/>
    </row>
    <row r="6" customHeight="1" spans="1:21">
      <c r="A6" s="37"/>
      <c r="B6" s="47" t="s">
        <v>60</v>
      </c>
      <c r="C6" s="38" t="s">
        <v>31</v>
      </c>
      <c r="D6" s="44" t="s">
        <v>123</v>
      </c>
      <c r="E6" s="44" t="s">
        <v>124</v>
      </c>
      <c r="F6" s="42" t="s">
        <v>115</v>
      </c>
      <c r="G6" s="39" t="str">
        <f>吉尔吉斯公式!H22</f>
        <v>请检查重量</v>
      </c>
      <c r="H6" s="41" t="s">
        <v>49</v>
      </c>
      <c r="I6" s="41" t="s">
        <v>125</v>
      </c>
      <c r="J6" s="41" t="s">
        <v>64</v>
      </c>
      <c r="K6" s="38" t="s">
        <v>65</v>
      </c>
      <c r="L6" s="42" t="s">
        <v>66</v>
      </c>
      <c r="O6" s="48"/>
      <c r="P6" s="49"/>
      <c r="Q6" s="49"/>
      <c r="R6" s="49"/>
      <c r="S6" s="49"/>
      <c r="T6" s="50"/>
      <c r="U6" s="51"/>
    </row>
    <row r="7" customHeight="1" spans="1:21">
      <c r="A7" s="37"/>
      <c r="B7" s="47" t="s">
        <v>76</v>
      </c>
      <c r="C7" s="38" t="s">
        <v>31</v>
      </c>
      <c r="D7" s="44" t="s">
        <v>126</v>
      </c>
      <c r="E7" s="44" t="s">
        <v>127</v>
      </c>
      <c r="F7" s="42" t="s">
        <v>115</v>
      </c>
      <c r="G7" s="39" t="str">
        <f>吉尔吉斯公式!H28</f>
        <v>请检查重量</v>
      </c>
      <c r="H7" s="41" t="s">
        <v>128</v>
      </c>
      <c r="I7" s="41" t="s">
        <v>129</v>
      </c>
      <c r="J7" s="41" t="s">
        <v>81</v>
      </c>
      <c r="K7" s="40" t="s">
        <v>27</v>
      </c>
      <c r="L7" s="42" t="s">
        <v>82</v>
      </c>
      <c r="O7" s="48"/>
      <c r="P7" s="49"/>
      <c r="Q7" s="49"/>
      <c r="R7" s="52"/>
      <c r="S7" s="52"/>
      <c r="T7" s="50"/>
      <c r="U7" s="51"/>
    </row>
    <row r="8" customHeight="1" spans="1:21">
      <c r="A8" s="37"/>
      <c r="B8" s="53" t="s">
        <v>86</v>
      </c>
      <c r="C8" s="38" t="s">
        <v>31</v>
      </c>
      <c r="D8" s="44" t="s">
        <v>130</v>
      </c>
      <c r="E8" s="44" t="s">
        <v>131</v>
      </c>
      <c r="F8" s="42" t="s">
        <v>115</v>
      </c>
      <c r="G8" s="39" t="str">
        <f>吉尔吉斯公式!H34</f>
        <v>请检查重量</v>
      </c>
      <c r="H8" s="54" t="s">
        <v>128</v>
      </c>
      <c r="I8" s="54" t="s">
        <v>132</v>
      </c>
      <c r="J8" s="54" t="s">
        <v>64</v>
      </c>
      <c r="K8" s="55" t="s">
        <v>65</v>
      </c>
      <c r="L8" s="44" t="s">
        <v>90</v>
      </c>
    </row>
    <row r="9" ht="46" hidden="1" customHeight="1" spans="1:21">
      <c r="A9" s="37"/>
      <c r="B9" s="53" t="s">
        <v>93</v>
      </c>
      <c r="C9" s="56"/>
      <c r="D9" s="44" t="s">
        <v>94</v>
      </c>
      <c r="E9" s="44" t="s">
        <v>95</v>
      </c>
      <c r="F9" s="44" t="s">
        <v>96</v>
      </c>
      <c r="G9" s="44"/>
      <c r="H9" s="54" t="s">
        <v>97</v>
      </c>
      <c r="I9" s="54" t="s">
        <v>98</v>
      </c>
      <c r="J9" s="54" t="s">
        <v>26</v>
      </c>
      <c r="K9" s="54"/>
      <c r="L9" s="44" t="s">
        <v>100</v>
      </c>
    </row>
    <row r="10" ht="46" hidden="1" customHeight="1" spans="1:21">
      <c r="A10" s="37"/>
      <c r="B10" s="53" t="s">
        <v>101</v>
      </c>
      <c r="C10" s="56"/>
      <c r="D10" s="44" t="s">
        <v>102</v>
      </c>
      <c r="E10" s="44" t="s">
        <v>103</v>
      </c>
      <c r="F10" s="44" t="s">
        <v>104</v>
      </c>
      <c r="G10" s="44"/>
      <c r="H10" s="54"/>
      <c r="I10" s="54"/>
      <c r="J10" s="54"/>
      <c r="K10" s="54"/>
      <c r="L10" s="44"/>
    </row>
    <row r="11" ht="61" hidden="1" customHeight="1" spans="1:21">
      <c r="A11" s="37"/>
      <c r="B11" s="53" t="s">
        <v>105</v>
      </c>
      <c r="C11" s="57"/>
      <c r="D11" s="44" t="s">
        <v>106</v>
      </c>
      <c r="E11" s="44" t="s">
        <v>107</v>
      </c>
      <c r="F11" s="44" t="s">
        <v>108</v>
      </c>
      <c r="G11" s="44"/>
      <c r="H11" s="54"/>
      <c r="I11" s="54"/>
      <c r="J11" s="54"/>
      <c r="K11" s="54"/>
      <c r="L11" s="44" t="s">
        <v>109</v>
      </c>
    </row>
    <row r="12" ht="293" customHeight="1" spans="1:21">
      <c r="A12" s="58" t="s">
        <v>110</v>
      </c>
      <c r="B12" s="58"/>
      <c r="C12" s="58"/>
      <c r="D12" s="58"/>
      <c r="E12" s="58"/>
      <c r="F12" s="58"/>
      <c r="G12" s="59" t="s">
        <v>133</v>
      </c>
      <c r="H12" s="59"/>
      <c r="I12" s="59"/>
      <c r="J12" s="59"/>
      <c r="K12" s="59"/>
      <c r="L12" s="59"/>
    </row>
    <row r="13" ht="43" customHeight="1" spans="1:21">
      <c r="A13" s="60" t="s">
        <v>112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</row>
  </sheetData>
  <protectedRanges>
    <protectedRange sqref="O2:S2" name="区域1"/>
  </protectedRanges>
  <mergeCells count="22">
    <mergeCell ref="A1:K1"/>
    <mergeCell ref="Q1:S1"/>
    <mergeCell ref="O3:U3"/>
    <mergeCell ref="O4:U4"/>
    <mergeCell ref="O5:U5"/>
    <mergeCell ref="P6:Q6"/>
    <mergeCell ref="R6:S6"/>
    <mergeCell ref="P7:Q7"/>
    <mergeCell ref="R7:S7"/>
    <mergeCell ref="A12:F12"/>
    <mergeCell ref="G12:L12"/>
    <mergeCell ref="A13:L13"/>
    <mergeCell ref="A3:A11"/>
    <mergeCell ref="C9:C11"/>
    <mergeCell ref="H9:H11"/>
    <mergeCell ref="I9:I11"/>
    <mergeCell ref="J9:J11"/>
    <mergeCell ref="K3:K5"/>
    <mergeCell ref="L9:L10"/>
    <mergeCell ref="T6:T7"/>
    <mergeCell ref="U6:U7"/>
    <mergeCell ref="T1:U2"/>
  </mergeCells>
  <conditionalFormatting sqref="G2">
    <cfRule type="containsText" dxfId="0" priority="7" operator="between" text="元">
      <formula>NOT(ISERROR(SEARCH("元",G2)))</formula>
    </cfRule>
  </conditionalFormatting>
  <conditionalFormatting sqref="G3">
    <cfRule type="containsText" dxfId="0" priority="6" operator="between" text="元">
      <formula>NOT(ISERROR(SEARCH("元",G3)))</formula>
    </cfRule>
  </conditionalFormatting>
  <conditionalFormatting sqref="G4">
    <cfRule type="containsText" dxfId="0" priority="5" operator="between" text="元">
      <formula>NOT(ISERROR(SEARCH("元",G4)))</formula>
    </cfRule>
  </conditionalFormatting>
  <conditionalFormatting sqref="G5">
    <cfRule type="containsText" dxfId="0" priority="4" operator="between" text="元">
      <formula>NOT(ISERROR(SEARCH("元",G5)))</formula>
    </cfRule>
  </conditionalFormatting>
  <conditionalFormatting sqref="G6">
    <cfRule type="containsText" dxfId="0" priority="3" operator="between" text="元">
      <formula>NOT(ISERROR(SEARCH("元",G6)))</formula>
    </cfRule>
  </conditionalFormatting>
  <conditionalFormatting sqref="G7">
    <cfRule type="containsText" dxfId="0" priority="2" operator="between" text="元">
      <formula>NOT(ISERROR(SEARCH("元",G7)))</formula>
    </cfRule>
  </conditionalFormatting>
  <conditionalFormatting sqref="G8">
    <cfRule type="containsText" dxfId="0" priority="1" operator="between" text="元">
      <formula>NOT(ISERROR(SEARCH("元",G8)))</formula>
    </cfRule>
  </conditionalFormatting>
  <conditionalFormatting sqref="M2:M11">
    <cfRule type="containsText" dxfId="0" priority="8" operator="between" text="元">
      <formula>NOT(ISERROR(SEARCH("元",M2)))</formula>
    </cfRule>
  </conditionalFormatting>
  <conditionalFormatting sqref="M14:M1048576">
    <cfRule type="containsText" dxfId="0" priority="9" operator="between" text="元">
      <formula>NOT(ISERROR(SEARCH("元",M14)))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workbookViewId="0">
      <pane ySplit="1" topLeftCell="A2" activePane="bottomLeft" state="frozen"/>
      <selection/>
      <selection pane="bottomLeft" activeCell="G37" sqref="E2:G37"/>
    </sheetView>
  </sheetViews>
  <sheetFormatPr defaultColWidth="9" defaultRowHeight="30" customHeight="1"/>
  <cols>
    <col min="1" max="2" width="16" style="2" customWidth="1"/>
    <col min="3" max="3" width="29.1166666666667" style="2" customWidth="1"/>
    <col min="4" max="4" width="12.35" style="2" customWidth="1"/>
    <col min="5" max="5" width="19.25" style="2" customWidth="1"/>
    <col min="6" max="7" width="9.25" style="2" customWidth="1"/>
    <col min="8" max="8" width="17.125" style="2" customWidth="1"/>
    <col min="9" max="10" width="9" style="2"/>
    <col min="11" max="11" width="9.875" style="2"/>
    <col min="12" max="16" width="9" style="2"/>
    <col min="17" max="17" width="12" style="2" customWidth="1"/>
    <col min="18" max="18" width="9" style="2"/>
    <col min="19" max="19" width="20.625" style="2" customWidth="1"/>
    <col min="20" max="21" width="9" style="2"/>
    <col min="22" max="22" width="23" style="2" customWidth="1"/>
    <col min="23" max="16384" width="9" style="2"/>
  </cols>
  <sheetData>
    <row r="1" s="1" customFormat="1" ht="37" customHeight="1" spans="1:24">
      <c r="A1" s="28" t="s">
        <v>6</v>
      </c>
      <c r="B1" s="29" t="s">
        <v>7</v>
      </c>
      <c r="C1" s="29" t="s">
        <v>8</v>
      </c>
      <c r="D1" s="29" t="s">
        <v>134</v>
      </c>
      <c r="E1" s="29" t="s">
        <v>9</v>
      </c>
      <c r="F1" s="5" t="s">
        <v>135</v>
      </c>
      <c r="G1" s="5" t="s">
        <v>136</v>
      </c>
      <c r="H1" s="5" t="s">
        <v>9</v>
      </c>
      <c r="J1" s="30" t="s">
        <v>2</v>
      </c>
      <c r="K1" s="30" t="s">
        <v>3</v>
      </c>
      <c r="L1" s="30" t="s">
        <v>4</v>
      </c>
      <c r="M1" s="30"/>
      <c r="N1" s="30"/>
      <c r="O1" s="7"/>
      <c r="P1" s="8" t="s">
        <v>137</v>
      </c>
      <c r="Q1" s="8" t="s">
        <v>138</v>
      </c>
      <c r="R1" s="2"/>
      <c r="S1" s="9" t="s">
        <v>139</v>
      </c>
      <c r="T1" s="10" t="str">
        <f>IF($P$2&gt;=90,"三边合计超长","正常")</f>
        <v>三边合计超长</v>
      </c>
      <c r="U1" s="2"/>
      <c r="V1" s="11" t="s">
        <v>140</v>
      </c>
      <c r="W1" s="12" t="str" cm="1">
        <f t="array" ref="W1">IF(OR($L$2:$N$2&gt;60),"单边超长","正常")</f>
        <v>正常</v>
      </c>
      <c r="X1" s="2"/>
    </row>
    <row r="2" customHeight="1" spans="1:24">
      <c r="A2" s="13" t="s">
        <v>19</v>
      </c>
      <c r="B2" s="14" t="s">
        <v>141</v>
      </c>
      <c r="C2" s="15" t="s">
        <v>21</v>
      </c>
      <c r="D2" s="15" t="s">
        <v>142</v>
      </c>
      <c r="E2" s="15" t="s">
        <v>22</v>
      </c>
      <c r="F2" s="15">
        <v>28.1</v>
      </c>
      <c r="G2" s="15">
        <v>3.37</v>
      </c>
      <c r="H2" s="12" t="str">
        <f>IF($Q$2&lt;=0,"请检查重量",IF($K$2&gt;1600,"货值超渠道限制",IF($Q$2&gt;0.55,"重量限制550G",IF($T$1="三边合计超长","三边合计超长",IF($W$1="单边超长","单边超长",ROUNDUP(F2*$Q$2+G2,2)&amp;"元")))))</f>
        <v>货值超渠道限制</v>
      </c>
      <c r="J2" s="16">
        <f>兴远渠道计算!P2</f>
        <v>0.5</v>
      </c>
      <c r="K2" s="16">
        <f>兴远渠道计算!Q2</f>
        <v>5000</v>
      </c>
      <c r="L2" s="16">
        <f>兴远渠道计算!R2</f>
        <v>54</v>
      </c>
      <c r="M2" s="16">
        <f>兴远渠道计算!S2</f>
        <v>54</v>
      </c>
      <c r="N2" s="16">
        <f>兴远渠道计算!T2</f>
        <v>4</v>
      </c>
      <c r="P2" s="10">
        <f>SUM(L2:N2)</f>
        <v>112</v>
      </c>
      <c r="Q2" s="10">
        <f>IF($J$2&lt;=0,0,CEILING($J$2,0.001))</f>
        <v>0.5</v>
      </c>
      <c r="S2" s="9" t="s">
        <v>143</v>
      </c>
      <c r="T2" s="12" t="str">
        <f>IF($P$2&gt;=150,"三边合计超长","正常")</f>
        <v>正常</v>
      </c>
      <c r="V2" s="11" t="s">
        <v>144</v>
      </c>
      <c r="W2" s="12" t="str" cm="1">
        <f t="array" ref="W2">IF(OR($L$2:$N$2&gt;150),"单边超长","正常")</f>
        <v>正常</v>
      </c>
    </row>
    <row r="3" customHeight="1" spans="1:24">
      <c r="A3" s="17"/>
      <c r="B3" s="14" t="s">
        <v>141</v>
      </c>
      <c r="C3" s="15" t="s">
        <v>21</v>
      </c>
      <c r="D3" s="15" t="s">
        <v>145</v>
      </c>
      <c r="E3" s="15" t="s">
        <v>22</v>
      </c>
      <c r="F3" s="15">
        <v>28.1</v>
      </c>
      <c r="G3" s="15">
        <v>3.37</v>
      </c>
      <c r="H3" s="12" t="str">
        <f>IF($Q$2&lt;=0,"请检查重量",IF($K$2&gt;1600,"货值超渠道限制",IF($Q$2&gt;0.55,"重量限制550G",IF($T$1="三边合计超长","三边合计超长",IF($W$1="单边超长","单边超长",ROUNDUP(F3*$Q$2+G3,2)&amp;"元")))))</f>
        <v>货值超渠道限制</v>
      </c>
      <c r="S3" s="9" t="s">
        <v>146</v>
      </c>
      <c r="T3" s="12" t="str">
        <f>IF($P$2&gt;=250,"三边合计超长","正常")</f>
        <v>正常</v>
      </c>
      <c r="V3" s="18"/>
    </row>
    <row r="4" customHeight="1" spans="1:24">
      <c r="A4" s="17"/>
      <c r="B4" s="14" t="s">
        <v>147</v>
      </c>
      <c r="C4" s="15" t="s">
        <v>32</v>
      </c>
      <c r="D4" s="15" t="s">
        <v>142</v>
      </c>
      <c r="E4" s="15" t="s">
        <v>33</v>
      </c>
      <c r="F4" s="15">
        <v>39.3</v>
      </c>
      <c r="G4" s="15">
        <v>3.37</v>
      </c>
      <c r="H4" s="12" t="str">
        <f>IF($Q$2&lt;=0,"请检查重量",IF($K$2&gt;1600,"货值超渠道限制",IF($Q$2&gt;0.55,"重量限制550G",IF($T$1="三边合计超长","三边合计超长",IF($W$1="单边超长","单边超长",ROUNDUP(F4*$Q$2+G4,2)&amp;"元")))))</f>
        <v>货值超渠道限制</v>
      </c>
      <c r="S4" s="9" t="s">
        <v>148</v>
      </c>
      <c r="T4" s="12" t="str">
        <f>IF($P$2&gt;=310,"三边合计超长","正常")</f>
        <v>正常</v>
      </c>
      <c r="V4" s="18"/>
    </row>
    <row r="5" customHeight="1" spans="1:24">
      <c r="A5" s="17"/>
      <c r="B5" s="14" t="s">
        <v>147</v>
      </c>
      <c r="C5" s="15" t="s">
        <v>32</v>
      </c>
      <c r="D5" s="15" t="s">
        <v>145</v>
      </c>
      <c r="E5" s="15" t="s">
        <v>33</v>
      </c>
      <c r="F5" s="15">
        <v>39.3</v>
      </c>
      <c r="G5" s="15">
        <v>3.37</v>
      </c>
      <c r="H5" s="12" t="str">
        <f>IF($Q$2&lt;=0,"请检查重量",IF($K$2&gt;1600,"货值超渠道限制",IF($Q$2&gt;0.55,"重量限制550G",IF($T$1="三边合计超长","三边合计超长",IF($W$1="单边超长","单边超长",ROUNDUP(F5*$Q$2+G5,2)&amp;"元")))))</f>
        <v>货值超渠道限制</v>
      </c>
      <c r="V5" s="11" t="s">
        <v>149</v>
      </c>
      <c r="W5" s="12">
        <f>IF($L$2*$M$2*$N$2/12000&gt;$Q$2,$L$2*$M$2*$N$2/12000,$Q$2)</f>
        <v>0.972</v>
      </c>
    </row>
    <row r="6" customHeight="1" spans="1:24">
      <c r="A6" s="17"/>
      <c r="B6" s="14" t="s">
        <v>150</v>
      </c>
      <c r="C6" s="15" t="s">
        <v>151</v>
      </c>
      <c r="D6" s="15" t="s">
        <v>142</v>
      </c>
      <c r="E6" s="15" t="s">
        <v>152</v>
      </c>
      <c r="F6" s="15">
        <v>45</v>
      </c>
      <c r="G6" s="15">
        <v>3.12</v>
      </c>
      <c r="H6" s="12" t="str">
        <f>IF($Q$2&lt;=0,"请检查重量",IF($K$2&gt;1600,"货值超渠道限制",IF($Q$2&gt;0.5,"重量限制500G",IF($T$1="三边合计超长","三边合计超长",IF($W$1="单边超长","单边超长",ROUNDUP(F6*$Q$2+G6,2)&amp;"元")))))</f>
        <v>货值超渠道限制</v>
      </c>
    </row>
    <row r="7" customHeight="1" spans="1:24">
      <c r="A7" s="19"/>
      <c r="B7" s="14" t="s">
        <v>150</v>
      </c>
      <c r="C7" s="15" t="s">
        <v>151</v>
      </c>
      <c r="D7" s="15" t="s">
        <v>145</v>
      </c>
      <c r="E7" s="15" t="s">
        <v>152</v>
      </c>
      <c r="F7" s="15">
        <v>45</v>
      </c>
      <c r="G7" s="15">
        <v>3.12</v>
      </c>
      <c r="H7" s="12" t="str">
        <f>IF($Q$2&lt;=0,"请检查重量",IF($K$2&gt;1600,"货值超渠道限制",IF($Q$2&gt;0.5,"重量限制500G",IF($T$1="三边合计超长","三边合计超长",IF($W$1="单边超长","单边超长",ROUNDUP(F7*$Q$2+G7,2)&amp;"元")))))</f>
        <v>货值超渠道限制</v>
      </c>
    </row>
    <row r="8" customHeight="1" spans="1:24">
      <c r="A8" s="13" t="s">
        <v>36</v>
      </c>
      <c r="B8" s="14" t="s">
        <v>141</v>
      </c>
      <c r="C8" s="15" t="s">
        <v>153</v>
      </c>
      <c r="D8" s="15" t="s">
        <v>142</v>
      </c>
      <c r="E8" s="15" t="s">
        <v>38</v>
      </c>
      <c r="F8" s="15">
        <v>19.1</v>
      </c>
      <c r="G8" s="15">
        <v>25.83</v>
      </c>
      <c r="H8" s="12" t="str">
        <f t="shared" ref="H8:H11" si="0">IF($Q$2&lt;=0,"请检查重量",IF($K$2&gt;1600,"货值超渠道限制",IF($Q$2&gt;30,"重量限制30KG",IF($Q$2&lt;0.551,"重量不能低于551克",IF($T$2="三边合计超长","三边合计超长",IF($W$1="单边超长","单边超长",ROUNDUP(F8*$Q$2+G8,2)&amp;"元"))))))</f>
        <v>货值超渠道限制</v>
      </c>
    </row>
    <row r="9" customHeight="1" spans="1:24">
      <c r="A9" s="17"/>
      <c r="B9" s="14" t="s">
        <v>141</v>
      </c>
      <c r="C9" s="15" t="s">
        <v>153</v>
      </c>
      <c r="D9" s="15" t="s">
        <v>145</v>
      </c>
      <c r="E9" s="15" t="s">
        <v>38</v>
      </c>
      <c r="F9" s="15">
        <v>19.1</v>
      </c>
      <c r="G9" s="15">
        <v>25.83</v>
      </c>
      <c r="H9" s="12" t="str">
        <f t="shared" si="0"/>
        <v>货值超渠道限制</v>
      </c>
    </row>
    <row r="10" customHeight="1" spans="1:24">
      <c r="A10" s="17"/>
      <c r="B10" s="14" t="s">
        <v>147</v>
      </c>
      <c r="C10" s="20" t="s">
        <v>43</v>
      </c>
      <c r="D10" s="15" t="s">
        <v>142</v>
      </c>
      <c r="E10" s="20" t="s">
        <v>44</v>
      </c>
      <c r="F10" s="20">
        <v>28.1</v>
      </c>
      <c r="G10" s="15">
        <v>25.83</v>
      </c>
      <c r="H10" s="12" t="str">
        <f t="shared" si="0"/>
        <v>货值超渠道限制</v>
      </c>
    </row>
    <row r="11" customHeight="1" spans="1:24">
      <c r="A11" s="17"/>
      <c r="B11" s="14" t="s">
        <v>147</v>
      </c>
      <c r="C11" s="20" t="s">
        <v>43</v>
      </c>
      <c r="D11" s="15" t="s">
        <v>145</v>
      </c>
      <c r="E11" s="20" t="s">
        <v>44</v>
      </c>
      <c r="F11" s="20">
        <v>28.1</v>
      </c>
      <c r="G11" s="15">
        <v>25.83</v>
      </c>
      <c r="H11" s="12" t="str">
        <f t="shared" si="0"/>
        <v>货值超渠道限制</v>
      </c>
    </row>
    <row r="12" customHeight="1" spans="1:24">
      <c r="A12" s="17"/>
      <c r="B12" s="14" t="s">
        <v>150</v>
      </c>
      <c r="C12" s="20" t="s">
        <v>154</v>
      </c>
      <c r="D12" s="15" t="s">
        <v>142</v>
      </c>
      <c r="E12" s="20" t="s">
        <v>155</v>
      </c>
      <c r="F12" s="20">
        <v>33</v>
      </c>
      <c r="G12" s="15">
        <v>23.92</v>
      </c>
      <c r="H12" s="12" t="str">
        <f>IF($Q$2&lt;=0,"请检查重量",IF($K$2&gt;1600,"货值超渠道限制",IF($Q$2&gt;30,"重量限制30KG",IF($Q$2&lt;0.501,"重量不能低于501克",IF($T$2="三边合计超长","三边合计超长",IF($W$1="单边超长","单边超长",ROUNDUP(F12*$Q$2+G12,2)&amp;"元"))))))</f>
        <v>货值超渠道限制</v>
      </c>
    </row>
    <row r="13" customHeight="1" spans="1:24">
      <c r="A13" s="19"/>
      <c r="B13" s="14" t="s">
        <v>150</v>
      </c>
      <c r="C13" s="20" t="s">
        <v>154</v>
      </c>
      <c r="D13" s="15" t="s">
        <v>145</v>
      </c>
      <c r="E13" s="20" t="s">
        <v>155</v>
      </c>
      <c r="F13" s="20">
        <v>33</v>
      </c>
      <c r="G13" s="15">
        <v>23.92</v>
      </c>
      <c r="H13" s="12" t="str">
        <f>IF($Q$2&lt;=0,"请检查重量",IF($K$2&gt;1600,"货值超渠道限制",IF($Q$2&gt;30,"重量限制30KG",IF($Q$2&lt;0.501,"重量不能低于501克",IF($T$2="三边合计超长","三边合计超长",IF($W$1="单边超长","单边超长",ROUNDUP(F13*$Q$2+G13,2)&amp;"元"))))))</f>
        <v>货值超渠道限制</v>
      </c>
      <c r="J13"/>
    </row>
    <row r="14" customHeight="1" spans="1:24">
      <c r="A14" s="21" t="s">
        <v>46</v>
      </c>
      <c r="B14" s="14" t="s">
        <v>141</v>
      </c>
      <c r="C14" s="20" t="s">
        <v>47</v>
      </c>
      <c r="D14" s="15" t="s">
        <v>142</v>
      </c>
      <c r="E14" s="20" t="s">
        <v>48</v>
      </c>
      <c r="F14" s="20">
        <v>28.1</v>
      </c>
      <c r="G14" s="20">
        <v>17.97</v>
      </c>
      <c r="H14" s="12" t="str">
        <f t="shared" ref="H14:H17" si="1">IF($Q$2&lt;=0,"请检查重量",IF($K$2&lt;1501,"货值小于渠道限制",IF($K$2&gt;7200,"货值超渠道限制",IF($Q$2&gt;2.2,"重量限制2.2KG",IF($T$2="三边合计超长","三边合计超长",IF($W$1="单边超长","单边超长",ROUNDUP(F14*$Q$2+G14,2)&amp;"元"))))))</f>
        <v>32.02元</v>
      </c>
      <c r="J14"/>
    </row>
    <row r="15" customHeight="1" spans="1:24">
      <c r="A15" s="22"/>
      <c r="B15" s="14" t="s">
        <v>141</v>
      </c>
      <c r="C15" s="20" t="s">
        <v>47</v>
      </c>
      <c r="D15" s="15" t="s">
        <v>145</v>
      </c>
      <c r="E15" s="20" t="s">
        <v>48</v>
      </c>
      <c r="F15" s="20">
        <v>28.1</v>
      </c>
      <c r="G15" s="20">
        <v>17.97</v>
      </c>
      <c r="H15" s="12" t="str">
        <f t="shared" si="1"/>
        <v>32.02元</v>
      </c>
      <c r="J15"/>
    </row>
    <row r="16" customHeight="1" spans="1:24">
      <c r="A16" s="22"/>
      <c r="B16" s="14" t="s">
        <v>147</v>
      </c>
      <c r="C16" s="20" t="s">
        <v>53</v>
      </c>
      <c r="D16" s="15" t="s">
        <v>142</v>
      </c>
      <c r="E16" s="20" t="s">
        <v>54</v>
      </c>
      <c r="F16" s="20">
        <v>39.3</v>
      </c>
      <c r="G16" s="20">
        <v>17.97</v>
      </c>
      <c r="H16" s="12" t="str">
        <f t="shared" si="1"/>
        <v>37.62元</v>
      </c>
      <c r="J16"/>
    </row>
    <row r="17" customHeight="1" spans="1:10">
      <c r="A17" s="22"/>
      <c r="B17" s="14" t="s">
        <v>147</v>
      </c>
      <c r="C17" s="20" t="s">
        <v>53</v>
      </c>
      <c r="D17" s="15" t="s">
        <v>145</v>
      </c>
      <c r="E17" s="20" t="s">
        <v>54</v>
      </c>
      <c r="F17" s="20">
        <v>39.3</v>
      </c>
      <c r="G17" s="20">
        <v>17.97</v>
      </c>
      <c r="H17" s="12" t="str">
        <f t="shared" si="1"/>
        <v>37.62元</v>
      </c>
      <c r="J17"/>
    </row>
    <row r="18" customHeight="1" spans="1:10">
      <c r="A18" s="22"/>
      <c r="B18" s="14" t="s">
        <v>150</v>
      </c>
      <c r="C18" s="20" t="s">
        <v>156</v>
      </c>
      <c r="D18" s="15" t="s">
        <v>142</v>
      </c>
      <c r="E18" s="20" t="s">
        <v>157</v>
      </c>
      <c r="F18" s="20">
        <v>16</v>
      </c>
      <c r="G18" s="20">
        <v>16.64</v>
      </c>
      <c r="H18" s="12" t="str">
        <f>IF($Q$2&lt;=0,"请检查重量",IF($K$2&lt;1501,"货值小于渠道限制",IF($K$2&gt;7200,"货值超渠道限制",IF($Q$2&gt;2,"重量限制2KG",IF($T$2="三边合计超长","三边合计超长",IF($W$1="单边超长","单边超长",ROUNDUP(F18*$Q$2+G18,2)&amp;"元"))))))</f>
        <v>24.64元</v>
      </c>
      <c r="J18"/>
    </row>
    <row r="19" customHeight="1" spans="1:10">
      <c r="A19" s="23"/>
      <c r="B19" s="14" t="s">
        <v>150</v>
      </c>
      <c r="C19" s="20" t="s">
        <v>156</v>
      </c>
      <c r="D19" s="15" t="s">
        <v>145</v>
      </c>
      <c r="E19" s="20" t="s">
        <v>157</v>
      </c>
      <c r="F19" s="20">
        <v>16</v>
      </c>
      <c r="G19" s="20">
        <v>16.64</v>
      </c>
      <c r="H19" s="12" t="str">
        <f>IF($Q$2&lt;=0,"请检查重量",IF($K$2&lt;1501,"货值小于渠道限制",IF($K$2&gt;7200,"货值超渠道限制",IF($Q$2&gt;2,"重量限制2KG",IF($T$2="三边合计超长","三边合计超长",IF($W$1="单边超长","单边超长",ROUNDUP(F19*$Q$2+G19,2)&amp;"元"))))))</f>
        <v>24.64元</v>
      </c>
      <c r="J19"/>
    </row>
    <row r="20" customHeight="1" spans="1:10">
      <c r="A20" s="24" t="s">
        <v>60</v>
      </c>
      <c r="B20" s="14" t="s">
        <v>141</v>
      </c>
      <c r="C20" s="20" t="s">
        <v>158</v>
      </c>
      <c r="D20" s="15" t="s">
        <v>142</v>
      </c>
      <c r="E20" s="20" t="s">
        <v>62</v>
      </c>
      <c r="F20" s="20">
        <v>19.1</v>
      </c>
      <c r="G20" s="20">
        <v>40.44</v>
      </c>
      <c r="H20" s="12" t="str">
        <f t="shared" ref="H20:H23" si="2">IF($Q$2&lt;=0,"请检查重量",IF($K$2&lt;1501,"货值小于渠道限制",IF($K$2&gt;7200,"货值超渠道限制",IF($Q$2&lt;2.201,"重量限制2201G",IF($Q$2&gt;30,"重量限制30KG",IF($W$5&gt;30,"体积重超30KG",IF($T$3="三边合计超长","三边合计超长",IF($W$2="单边超长","单边超长",ROUNDUP(F20*$W$5+G20,2)&amp;"元"))))))))</f>
        <v>重量限制2201G</v>
      </c>
    </row>
    <row r="21" customHeight="1" spans="1:10">
      <c r="A21" s="25"/>
      <c r="B21" s="14" t="s">
        <v>141</v>
      </c>
      <c r="C21" s="20" t="s">
        <v>158</v>
      </c>
      <c r="D21" s="15" t="s">
        <v>145</v>
      </c>
      <c r="E21" s="20" t="s">
        <v>62</v>
      </c>
      <c r="F21" s="20">
        <v>19.1</v>
      </c>
      <c r="G21" s="20">
        <v>40.44</v>
      </c>
      <c r="H21" s="12" t="str">
        <f t="shared" si="2"/>
        <v>重量限制2201G</v>
      </c>
    </row>
    <row r="22" customHeight="1" spans="1:10">
      <c r="A22" s="25"/>
      <c r="B22" s="14" t="s">
        <v>147</v>
      </c>
      <c r="C22" s="20" t="s">
        <v>72</v>
      </c>
      <c r="D22" s="15" t="s">
        <v>142</v>
      </c>
      <c r="E22" s="20" t="s">
        <v>73</v>
      </c>
      <c r="F22" s="20">
        <v>28.1</v>
      </c>
      <c r="G22" s="20">
        <v>40.44</v>
      </c>
      <c r="H22" s="12" t="str">
        <f t="shared" si="2"/>
        <v>重量限制2201G</v>
      </c>
    </row>
    <row r="23" customHeight="1" spans="1:10">
      <c r="A23" s="25"/>
      <c r="B23" s="14" t="s">
        <v>147</v>
      </c>
      <c r="C23" s="20" t="s">
        <v>72</v>
      </c>
      <c r="D23" s="15" t="s">
        <v>145</v>
      </c>
      <c r="E23" s="20" t="s">
        <v>73</v>
      </c>
      <c r="F23" s="20">
        <v>28.1</v>
      </c>
      <c r="G23" s="20">
        <v>40.44</v>
      </c>
      <c r="H23" s="12" t="str">
        <f t="shared" si="2"/>
        <v>重量限制2201G</v>
      </c>
    </row>
    <row r="24" customHeight="1" spans="1:10">
      <c r="A24" s="25"/>
      <c r="B24" s="14" t="s">
        <v>150</v>
      </c>
      <c r="C24" s="20" t="s">
        <v>159</v>
      </c>
      <c r="D24" s="15" t="s">
        <v>142</v>
      </c>
      <c r="E24" s="20" t="s">
        <v>160</v>
      </c>
      <c r="F24" s="20">
        <v>33</v>
      </c>
      <c r="G24" s="20">
        <v>37.44</v>
      </c>
      <c r="H24" s="12" t="str">
        <f>IF($Q$2&lt;=0,"请检查重量",IF($K$2&lt;1501,"货值小于渠道限制",IF($K$2&gt;7200,"货值超渠道限制",IF($Q$2&lt;2.001,"重量限制2001G",IF($Q$2&gt;30,"重量限制30KG",IF($W$5&gt;30,"体积重超30KG",IF($T$3="三边合计超长","三边合计超长",IF($W$2="单边超长","单边超长",ROUNDUP(F24*$W$5+G24,2)&amp;"元"))))))))</f>
        <v>重量限制2001G</v>
      </c>
    </row>
    <row r="25" customHeight="1" spans="1:10">
      <c r="A25" s="26"/>
      <c r="B25" s="14" t="s">
        <v>150</v>
      </c>
      <c r="C25" s="20" t="s">
        <v>159</v>
      </c>
      <c r="D25" s="15" t="s">
        <v>145</v>
      </c>
      <c r="E25" s="20" t="s">
        <v>160</v>
      </c>
      <c r="F25" s="20">
        <v>33</v>
      </c>
      <c r="G25" s="20">
        <v>37.44</v>
      </c>
      <c r="H25" s="12" t="str">
        <f>IF($Q$2&lt;=0,"请检查重量",IF($K$2&lt;1501,"货值小于渠道限制",IF($K$2&gt;7200,"货值超渠道限制",IF($Q$2&lt;2.001,"重量限制2001G",IF($Q$2&gt;30,"重量限制30KG",IF($W$5&gt;30,"体积重超30KG",IF($T$3="三边合计超长","三边合计超长",IF($W$2="单边超长","单边超长",ROUNDUP(F25*$W$5+G25,2)&amp;"元"))))))))</f>
        <v>重量限制2001G</v>
      </c>
    </row>
    <row r="26" customHeight="1" spans="1:10">
      <c r="A26" s="21" t="s">
        <v>161</v>
      </c>
      <c r="B26" s="14" t="s">
        <v>141</v>
      </c>
      <c r="C26" s="20" t="s">
        <v>77</v>
      </c>
      <c r="D26" s="15" t="s">
        <v>142</v>
      </c>
      <c r="E26" s="20" t="s">
        <v>78</v>
      </c>
      <c r="F26" s="20">
        <v>28.1</v>
      </c>
      <c r="G26" s="20">
        <v>24.71</v>
      </c>
      <c r="H26" s="12" t="str">
        <f t="shared" ref="H26:H29" si="3">IF($Q$2&lt;=0,"请检查重量",IF($K$2&lt;7000,"货值小于渠道限制",IF($K$2&gt;250000,"货值超渠道限制",IF($Q$2&gt;5.5,"重量限制5.5KG",IF($T$3="三边合计超长","三边合计超长",IF($W$2="单边超长","单边超长",ROUNDUP(F26*$Q$2+G26,2)&amp;"元"))))))</f>
        <v>货值小于渠道限制</v>
      </c>
    </row>
    <row r="27" customHeight="1" spans="1:10">
      <c r="A27" s="22"/>
      <c r="B27" s="14" t="s">
        <v>141</v>
      </c>
      <c r="C27" s="20" t="s">
        <v>77</v>
      </c>
      <c r="D27" s="15" t="s">
        <v>145</v>
      </c>
      <c r="E27" s="20" t="s">
        <v>78</v>
      </c>
      <c r="F27" s="20">
        <v>28.1</v>
      </c>
      <c r="G27" s="20">
        <v>24.71</v>
      </c>
      <c r="H27" s="12" t="str">
        <f t="shared" si="3"/>
        <v>货值小于渠道限制</v>
      </c>
    </row>
    <row r="28" customHeight="1" spans="1:10">
      <c r="A28" s="22"/>
      <c r="B28" s="14" t="s">
        <v>147</v>
      </c>
      <c r="C28" s="20" t="s">
        <v>83</v>
      </c>
      <c r="D28" s="15" t="s">
        <v>142</v>
      </c>
      <c r="E28" s="20" t="s">
        <v>84</v>
      </c>
      <c r="F28" s="20">
        <v>39.3</v>
      </c>
      <c r="G28" s="20">
        <v>24.71</v>
      </c>
      <c r="H28" s="12" t="str">
        <f t="shared" si="3"/>
        <v>货值小于渠道限制</v>
      </c>
    </row>
    <row r="29" customHeight="1" spans="1:10">
      <c r="A29" s="22"/>
      <c r="B29" s="14" t="s">
        <v>147</v>
      </c>
      <c r="C29" s="20" t="s">
        <v>83</v>
      </c>
      <c r="D29" s="15" t="s">
        <v>145</v>
      </c>
      <c r="E29" s="20" t="s">
        <v>84</v>
      </c>
      <c r="F29" s="20">
        <v>39.3</v>
      </c>
      <c r="G29" s="20">
        <v>24.71</v>
      </c>
      <c r="H29" s="12" t="str">
        <f t="shared" si="3"/>
        <v>货值小于渠道限制</v>
      </c>
    </row>
    <row r="30" customHeight="1" spans="1:10">
      <c r="A30" s="22"/>
      <c r="B30" s="14" t="s">
        <v>150</v>
      </c>
      <c r="C30" s="20" t="s">
        <v>162</v>
      </c>
      <c r="D30" s="15" t="s">
        <v>142</v>
      </c>
      <c r="E30" s="20" t="s">
        <v>163</v>
      </c>
      <c r="F30" s="20">
        <v>26</v>
      </c>
      <c r="G30" s="20">
        <v>22.88</v>
      </c>
      <c r="H30" s="12" t="str">
        <f>IF($Q$2&lt;=0,"请检查重量",IF($K$2&lt;7000,"货值小于渠道限制",IF($K$2&gt;250000,"货值超渠道限制",IF($Q$2&gt;5,"重量限制5KG",IF($T$3="三边合计超长","三边合计超长",IF($W$2="单边超长","单边超长",ROUNDUP(F30*$Q$2+G30,2)&amp;"元"))))))</f>
        <v>货值小于渠道限制</v>
      </c>
    </row>
    <row r="31" customHeight="1" spans="1:10">
      <c r="A31" s="23"/>
      <c r="B31" s="14" t="s">
        <v>150</v>
      </c>
      <c r="C31" s="20" t="s">
        <v>162</v>
      </c>
      <c r="D31" s="15" t="s">
        <v>145</v>
      </c>
      <c r="E31" s="20" t="s">
        <v>163</v>
      </c>
      <c r="F31" s="20">
        <v>26</v>
      </c>
      <c r="G31" s="20">
        <v>22.88</v>
      </c>
      <c r="H31" s="12" t="str">
        <f>IF($Q$2&lt;=0,"请检查重量",IF($K$2&lt;7000,"货值小于渠道限制",IF($K$2&gt;250000,"货值超渠道限制",IF($Q$2&gt;5,"重量限制5KG",IF($T$3="三边合计超长","三边合计超长",IF($W$2="单边超长","单边超长",ROUNDUP(F31*$Q$2+G31,2)&amp;"元"))))))</f>
        <v>货值小于渠道限制</v>
      </c>
    </row>
    <row r="32" customHeight="1" spans="1:10">
      <c r="A32" s="27" t="s">
        <v>86</v>
      </c>
      <c r="B32" s="14" t="s">
        <v>141</v>
      </c>
      <c r="C32" s="20" t="s">
        <v>164</v>
      </c>
      <c r="D32" s="15" t="s">
        <v>142</v>
      </c>
      <c r="E32" s="20" t="s">
        <v>88</v>
      </c>
      <c r="F32" s="20">
        <v>25.8</v>
      </c>
      <c r="G32" s="20">
        <v>69.64</v>
      </c>
      <c r="H32" s="12" t="str">
        <f t="shared" ref="H32:H35" si="4">IF($Q$2&lt;=0,"请检查重量",IF($K$2&lt;7000,"货值小于渠道限制",IF($K$2&gt;250000,"货值超渠道限制",IF($Q$2&lt;5.501,"最低限制5501G",IF($Q$2&gt;30,"重量限制30KG",IF($W$5&gt;30,"体积重超30KG",IF($T$4="三边合计超长","三边合计超长",IF($W$2="单边超长","单边超长",ROUNDUP(F32*$W$5+G32,2)&amp;"元"))))))))</f>
        <v>货值小于渠道限制</v>
      </c>
    </row>
    <row r="33" customHeight="1" spans="1:8">
      <c r="A33" s="27"/>
      <c r="B33" s="14" t="s">
        <v>141</v>
      </c>
      <c r="C33" s="20" t="s">
        <v>164</v>
      </c>
      <c r="D33" s="15" t="s">
        <v>145</v>
      </c>
      <c r="E33" s="20" t="s">
        <v>88</v>
      </c>
      <c r="F33" s="20">
        <v>25.8</v>
      </c>
      <c r="G33" s="20">
        <v>69.64</v>
      </c>
      <c r="H33" s="12" t="str">
        <f t="shared" si="4"/>
        <v>货值小于渠道限制</v>
      </c>
    </row>
    <row r="34" customHeight="1" spans="1:8">
      <c r="A34" s="27"/>
      <c r="B34" s="14" t="s">
        <v>147</v>
      </c>
      <c r="C34" s="20" t="s">
        <v>91</v>
      </c>
      <c r="D34" s="15" t="s">
        <v>142</v>
      </c>
      <c r="E34" s="20" t="s">
        <v>92</v>
      </c>
      <c r="F34" s="20">
        <v>31.4</v>
      </c>
      <c r="G34" s="20">
        <v>69.64</v>
      </c>
      <c r="H34" s="12" t="str">
        <f t="shared" si="4"/>
        <v>货值小于渠道限制</v>
      </c>
    </row>
    <row r="35" customHeight="1" spans="1:8">
      <c r="A35" s="27"/>
      <c r="B35" s="14" t="s">
        <v>147</v>
      </c>
      <c r="C35" s="20" t="s">
        <v>91</v>
      </c>
      <c r="D35" s="15" t="s">
        <v>145</v>
      </c>
      <c r="E35" s="20" t="s">
        <v>92</v>
      </c>
      <c r="F35" s="20">
        <v>31.4</v>
      </c>
      <c r="G35" s="20">
        <v>69.64</v>
      </c>
      <c r="H35" s="12" t="str">
        <f t="shared" si="4"/>
        <v>货值小于渠道限制</v>
      </c>
    </row>
    <row r="36" customHeight="1" spans="1:8">
      <c r="A36" s="27"/>
      <c r="B36" s="14" t="s">
        <v>150</v>
      </c>
      <c r="C36" s="20" t="s">
        <v>165</v>
      </c>
      <c r="D36" s="15" t="s">
        <v>142</v>
      </c>
      <c r="E36" s="20" t="s">
        <v>166</v>
      </c>
      <c r="F36" s="20">
        <v>33</v>
      </c>
      <c r="G36" s="20">
        <v>64.48</v>
      </c>
      <c r="H36" s="12" t="str">
        <f>IF($Q$2&lt;=0,"请检查重量",IF($K$2&lt;7000,"货值小于渠道限制",IF($K$2&gt;250000,"货值超渠道限制",IF($Q$2&lt;5.001,"最低限制5001G",IF($Q$2&gt;30,"重量限制30KG",IF($W$5&gt;30,"体积重超30KG",IF($T$4="三边合计超长","三边合计超长",IF($W$2="单边超长","单边超长",ROUNDUP(F36*$W$5+G36,2)&amp;"元"))))))))</f>
        <v>货值小于渠道限制</v>
      </c>
    </row>
    <row r="37" customHeight="1" spans="1:8">
      <c r="A37" s="27"/>
      <c r="B37" s="14" t="s">
        <v>150</v>
      </c>
      <c r="C37" s="20" t="s">
        <v>165</v>
      </c>
      <c r="D37" s="15" t="s">
        <v>145</v>
      </c>
      <c r="E37" s="20" t="s">
        <v>166</v>
      </c>
      <c r="F37" s="20">
        <v>33</v>
      </c>
      <c r="G37" s="20">
        <v>64.48</v>
      </c>
      <c r="H37" s="12" t="str">
        <f>IF($Q$2&lt;=0,"请检查重量",IF($K$2&lt;7000,"货值小于渠道限制",IF($K$2&gt;250000,"货值超渠道限制",IF($Q$2&lt;5.001,"最低限制5001G",IF($Q$2&gt;30,"重量限制30KG",IF($W$5&gt;30,"体积重超30KG",IF($T$4="三边合计超长","三边合计超长",IF($W$2="单边超长","单边超长",ROUNDUP(F37*$W$5+G37,2)&amp;"元"))))))))</f>
        <v>货值小于渠道限制</v>
      </c>
    </row>
  </sheetData>
  <protectedRanges>
    <protectedRange sqref="J2:K2 L2:N2" name="区域1"/>
  </protectedRanges>
  <mergeCells count="7">
    <mergeCell ref="L1:N1"/>
    <mergeCell ref="A2:A7"/>
    <mergeCell ref="A8:A13"/>
    <mergeCell ref="A14:A19"/>
    <mergeCell ref="A20:A25"/>
    <mergeCell ref="A26:A31"/>
    <mergeCell ref="A32:A37"/>
  </mergeCells>
  <conditionalFormatting sqref="C1:H1">
    <cfRule type="containsText" dxfId="1" priority="1" operator="between" text="元">
      <formula>NOT(ISERROR(SEARCH("元",C1)))</formula>
    </cfRule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workbookViewId="0">
      <pane ySplit="1" topLeftCell="A13" activePane="bottomLeft" state="frozen"/>
      <selection/>
      <selection pane="bottomLeft" activeCell="H32" sqref="H32"/>
    </sheetView>
  </sheetViews>
  <sheetFormatPr defaultColWidth="9" defaultRowHeight="30" customHeight="1"/>
  <cols>
    <col min="1" max="2" width="16" style="2" customWidth="1"/>
    <col min="3" max="3" width="29.1166666666667" style="2" customWidth="1"/>
    <col min="4" max="4" width="12.35" style="2" customWidth="1"/>
    <col min="5" max="5" width="19.25" style="2" customWidth="1"/>
    <col min="6" max="7" width="9.25" style="2" customWidth="1"/>
    <col min="8" max="8" width="17.125" style="2" customWidth="1"/>
    <col min="9" max="10" width="9" style="2"/>
    <col min="11" max="11" width="9.875" style="2"/>
    <col min="12" max="16" width="9" style="2"/>
    <col min="17" max="17" width="12" style="2" customWidth="1"/>
    <col min="18" max="18" width="9" style="2"/>
    <col min="19" max="19" width="20.625" style="2" customWidth="1"/>
    <col min="20" max="21" width="9" style="2"/>
    <col min="22" max="22" width="23" style="2" customWidth="1"/>
    <col min="23" max="16384" width="9" style="2"/>
  </cols>
  <sheetData>
    <row r="1" s="1" customFormat="1" ht="37" customHeight="1" spans="1:24">
      <c r="A1" s="3" t="s">
        <v>6</v>
      </c>
      <c r="B1" s="4" t="s">
        <v>7</v>
      </c>
      <c r="C1" s="4" t="s">
        <v>8</v>
      </c>
      <c r="D1" s="4" t="s">
        <v>134</v>
      </c>
      <c r="E1" s="4" t="s">
        <v>9</v>
      </c>
      <c r="F1" s="5" t="s">
        <v>135</v>
      </c>
      <c r="G1" s="5" t="s">
        <v>136</v>
      </c>
      <c r="H1" s="5" t="s">
        <v>9</v>
      </c>
      <c r="J1" s="6" t="s">
        <v>2</v>
      </c>
      <c r="K1" s="6" t="s">
        <v>3</v>
      </c>
      <c r="L1" s="6" t="s">
        <v>4</v>
      </c>
      <c r="M1" s="6"/>
      <c r="N1" s="6"/>
      <c r="O1" s="7"/>
      <c r="P1" s="8" t="s">
        <v>137</v>
      </c>
      <c r="Q1" s="8" t="s">
        <v>138</v>
      </c>
      <c r="R1" s="2"/>
      <c r="S1" s="9" t="s">
        <v>139</v>
      </c>
      <c r="T1" s="10" t="str">
        <f>IF($P$2&gt;=90,"三边合计超长","正常")</f>
        <v>正常</v>
      </c>
      <c r="U1" s="2"/>
      <c r="V1" s="11" t="s">
        <v>140</v>
      </c>
      <c r="W1" s="12" t="str" cm="1">
        <f t="array" ref="W1">IF(OR($L$2:$N$2&gt;60),"单边超长","正常")</f>
        <v>正常</v>
      </c>
      <c r="X1" s="2"/>
    </row>
    <row r="2" customHeight="1" spans="1:24">
      <c r="A2" s="13" t="s">
        <v>19</v>
      </c>
      <c r="B2" s="14" t="s">
        <v>141</v>
      </c>
      <c r="C2" s="15" t="s">
        <v>21</v>
      </c>
      <c r="D2" s="15" t="s">
        <v>142</v>
      </c>
      <c r="E2" s="15" t="s">
        <v>167</v>
      </c>
      <c r="F2" s="15">
        <v>26</v>
      </c>
      <c r="G2" s="15">
        <v>3.12</v>
      </c>
      <c r="H2" s="12" t="str">
        <f t="shared" ref="H2:H7" si="0">IF($Q$2&lt;=0,"请检查重量",IF($K$2&gt;1600,"货值超渠道限制",IF($Q$2&gt;0.5,"重量限制500G",IF($T$1="三边合计超长","三边合计超长",IF($W$1="单边超长","单边超长",ROUNDUP(F2*$Q$2+G2,2)&amp;"元")))))</f>
        <v>请检查重量</v>
      </c>
      <c r="J2" s="16">
        <f>兴远吉尔吉斯渠道计算!O2</f>
        <v>0</v>
      </c>
      <c r="K2" s="16">
        <f>兴远吉尔吉斯渠道计算!P2</f>
        <v>0</v>
      </c>
      <c r="L2" s="16">
        <f>兴远吉尔吉斯渠道计算!Q2</f>
        <v>0</v>
      </c>
      <c r="M2" s="16">
        <f>兴远吉尔吉斯渠道计算!R2</f>
        <v>0</v>
      </c>
      <c r="N2" s="16">
        <f>兴远吉尔吉斯渠道计算!S2</f>
        <v>0</v>
      </c>
      <c r="P2" s="10">
        <f>SUM(L2:N2)</f>
        <v>0</v>
      </c>
      <c r="Q2" s="10">
        <f>IF($J$2&lt;=0,0,CEILING($J$2,0.001))</f>
        <v>0</v>
      </c>
      <c r="S2" s="9" t="s">
        <v>143</v>
      </c>
      <c r="T2" s="12" t="str">
        <f>IF($P$2&gt;=150,"三边合计超长","正常")</f>
        <v>正常</v>
      </c>
      <c r="V2" s="11" t="s">
        <v>144</v>
      </c>
      <c r="W2" s="12" t="str" cm="1">
        <f t="array" ref="W2">IF(OR($L$2:$N$2&gt;150),"单边超长","正常")</f>
        <v>正常</v>
      </c>
    </row>
    <row r="3" customHeight="1" spans="1:24">
      <c r="A3" s="17"/>
      <c r="B3" s="14" t="s">
        <v>141</v>
      </c>
      <c r="C3" s="15" t="s">
        <v>21</v>
      </c>
      <c r="D3" s="15" t="s">
        <v>145</v>
      </c>
      <c r="E3" s="15" t="s">
        <v>167</v>
      </c>
      <c r="F3" s="15">
        <v>26</v>
      </c>
      <c r="G3" s="15">
        <v>3.12</v>
      </c>
      <c r="H3" s="12" t="str">
        <f t="shared" si="0"/>
        <v>请检查重量</v>
      </c>
      <c r="S3" s="9" t="s">
        <v>146</v>
      </c>
      <c r="T3" s="12" t="str">
        <f>IF($P$2&gt;=250,"三边合计超长","正常")</f>
        <v>正常</v>
      </c>
      <c r="V3" s="18"/>
    </row>
    <row r="4" customHeight="1" spans="1:24">
      <c r="A4" s="17"/>
      <c r="B4" s="14" t="s">
        <v>147</v>
      </c>
      <c r="C4" s="15" t="s">
        <v>32</v>
      </c>
      <c r="D4" s="15" t="s">
        <v>142</v>
      </c>
      <c r="E4" s="15" t="s">
        <v>114</v>
      </c>
      <c r="F4" s="15">
        <v>39.3</v>
      </c>
      <c r="G4" s="15">
        <v>3.37</v>
      </c>
      <c r="H4" s="12" t="str">
        <f t="shared" si="0"/>
        <v>请检查重量</v>
      </c>
      <c r="S4" s="9" t="s">
        <v>148</v>
      </c>
      <c r="T4" s="12" t="str">
        <f>IF($P$2&gt;=310,"三边合计超长","正常")</f>
        <v>正常</v>
      </c>
      <c r="V4" s="18"/>
    </row>
    <row r="5" customHeight="1" spans="1:24">
      <c r="A5" s="17"/>
      <c r="B5" s="14" t="s">
        <v>147</v>
      </c>
      <c r="C5" s="15" t="s">
        <v>32</v>
      </c>
      <c r="D5" s="15" t="s">
        <v>145</v>
      </c>
      <c r="E5" s="15" t="s">
        <v>114</v>
      </c>
      <c r="F5" s="15">
        <v>39.3</v>
      </c>
      <c r="G5" s="15">
        <v>3.37</v>
      </c>
      <c r="H5" s="12" t="str">
        <f t="shared" si="0"/>
        <v>请检查重量</v>
      </c>
      <c r="V5" s="11" t="s">
        <v>149</v>
      </c>
      <c r="W5" s="12">
        <f>IF($L$2*$M$2*$N$2/12000&gt;$Q$2,$L$2*$M$2*$N$2/12000,$Q$2)</f>
        <v>0</v>
      </c>
    </row>
    <row r="6" customHeight="1" spans="1:24">
      <c r="A6" s="17"/>
      <c r="B6" s="14" t="s">
        <v>150</v>
      </c>
      <c r="C6" s="15" t="s">
        <v>151</v>
      </c>
      <c r="D6" s="15" t="s">
        <v>142</v>
      </c>
      <c r="E6" s="15" t="s">
        <v>152</v>
      </c>
      <c r="F6" s="15">
        <v>45</v>
      </c>
      <c r="G6" s="15">
        <v>3.12</v>
      </c>
      <c r="H6" s="12" t="str">
        <f t="shared" si="0"/>
        <v>请检查重量</v>
      </c>
    </row>
    <row r="7" customHeight="1" spans="1:24">
      <c r="A7" s="19"/>
      <c r="B7" s="14" t="s">
        <v>150</v>
      </c>
      <c r="C7" s="15" t="s">
        <v>151</v>
      </c>
      <c r="D7" s="15" t="s">
        <v>145</v>
      </c>
      <c r="E7" s="15" t="s">
        <v>152</v>
      </c>
      <c r="F7" s="15">
        <v>45</v>
      </c>
      <c r="G7" s="15">
        <v>3.12</v>
      </c>
      <c r="H7" s="12" t="str">
        <f t="shared" si="0"/>
        <v>请检查重量</v>
      </c>
    </row>
    <row r="8" customHeight="1" spans="1:24">
      <c r="A8" s="13" t="s">
        <v>36</v>
      </c>
      <c r="B8" s="14" t="s">
        <v>141</v>
      </c>
      <c r="C8" s="15" t="s">
        <v>153</v>
      </c>
      <c r="D8" s="15" t="s">
        <v>142</v>
      </c>
      <c r="E8" s="15" t="s">
        <v>168</v>
      </c>
      <c r="F8" s="15">
        <v>17.68</v>
      </c>
      <c r="G8" s="15">
        <v>23.92</v>
      </c>
      <c r="H8" s="12" t="str">
        <f t="shared" ref="H8:H13" si="1">IF($Q$2&lt;=0,"请检查重量",IF($K$2&gt;1600,"货值超渠道限制",IF($Q$2&gt;30,"重量限制30KG",IF($Q$2&lt;0.501,"重量不能低于501克",IF($T$2="三边合计超长","三边合计超长",IF($W$1="单边超长","单边超长",ROUNDUP(F8*$Q$2+G8,2)&amp;"元"))))))</f>
        <v>请检查重量</v>
      </c>
    </row>
    <row r="9" customHeight="1" spans="1:24">
      <c r="A9" s="17"/>
      <c r="B9" s="14" t="s">
        <v>141</v>
      </c>
      <c r="C9" s="15" t="s">
        <v>153</v>
      </c>
      <c r="D9" s="15" t="s">
        <v>145</v>
      </c>
      <c r="E9" s="15" t="s">
        <v>168</v>
      </c>
      <c r="F9" s="15">
        <v>17.68</v>
      </c>
      <c r="G9" s="15">
        <v>23.92</v>
      </c>
      <c r="H9" s="12" t="str">
        <f t="shared" si="1"/>
        <v>请检查重量</v>
      </c>
    </row>
    <row r="10" customHeight="1" spans="1:24">
      <c r="A10" s="17"/>
      <c r="B10" s="14" t="s">
        <v>147</v>
      </c>
      <c r="C10" s="20" t="s">
        <v>43</v>
      </c>
      <c r="D10" s="15" t="s">
        <v>142</v>
      </c>
      <c r="E10" s="20" t="s">
        <v>118</v>
      </c>
      <c r="F10" s="20">
        <v>28.1</v>
      </c>
      <c r="G10" s="15">
        <v>23.83</v>
      </c>
      <c r="H10" s="12" t="str">
        <f t="shared" si="1"/>
        <v>请检查重量</v>
      </c>
    </row>
    <row r="11" customHeight="1" spans="1:24">
      <c r="A11" s="17"/>
      <c r="B11" s="14" t="s">
        <v>147</v>
      </c>
      <c r="C11" s="20" t="s">
        <v>43</v>
      </c>
      <c r="D11" s="15" t="s">
        <v>145</v>
      </c>
      <c r="E11" s="20" t="s">
        <v>118</v>
      </c>
      <c r="F11" s="20">
        <v>28.1</v>
      </c>
      <c r="G11" s="15">
        <v>23.83</v>
      </c>
      <c r="H11" s="12" t="str">
        <f t="shared" si="1"/>
        <v>请检查重量</v>
      </c>
    </row>
    <row r="12" customHeight="1" spans="1:24">
      <c r="A12" s="17"/>
      <c r="B12" s="14" t="s">
        <v>150</v>
      </c>
      <c r="C12" s="20" t="s">
        <v>154</v>
      </c>
      <c r="D12" s="15" t="s">
        <v>142</v>
      </c>
      <c r="E12" s="20" t="s">
        <v>155</v>
      </c>
      <c r="F12" s="20">
        <v>33</v>
      </c>
      <c r="G12" s="15">
        <v>23.92</v>
      </c>
      <c r="H12" s="12" t="str">
        <f t="shared" si="1"/>
        <v>请检查重量</v>
      </c>
    </row>
    <row r="13" customHeight="1" spans="1:24">
      <c r="A13" s="19"/>
      <c r="B13" s="14" t="s">
        <v>150</v>
      </c>
      <c r="C13" s="20" t="s">
        <v>154</v>
      </c>
      <c r="D13" s="15" t="s">
        <v>145</v>
      </c>
      <c r="E13" s="20" t="s">
        <v>155</v>
      </c>
      <c r="F13" s="20">
        <v>33</v>
      </c>
      <c r="G13" s="15">
        <v>23.92</v>
      </c>
      <c r="H13" s="12" t="str">
        <f t="shared" si="1"/>
        <v>请检查重量</v>
      </c>
      <c r="J13"/>
    </row>
    <row r="14" customHeight="1" spans="1:24">
      <c r="A14" s="21" t="s">
        <v>46</v>
      </c>
      <c r="B14" s="14" t="s">
        <v>141</v>
      </c>
      <c r="C14" s="20" t="s">
        <v>47</v>
      </c>
      <c r="D14" s="15" t="s">
        <v>142</v>
      </c>
      <c r="E14" s="20" t="s">
        <v>169</v>
      </c>
      <c r="F14" s="20">
        <v>26</v>
      </c>
      <c r="G14" s="20">
        <v>16.64</v>
      </c>
      <c r="H14" s="12" t="str">
        <f t="shared" ref="H14:H19" si="2">IF($Q$2&lt;=0,"请检查重量",IF($K$2&lt;1501,"货值小于渠道限制",IF($K$2&gt;7200,"货值超渠道限制",IF($Q$2&gt;2,"重量限制2KG",IF($T$2="三边合计超长","三边合计超长",IF($W$1="单边超长","单边超长",ROUNDUP(F14*$Q$2+G14,2)&amp;"元"))))))</f>
        <v>请检查重量</v>
      </c>
      <c r="J14"/>
    </row>
    <row r="15" customHeight="1" spans="1:24">
      <c r="A15" s="22"/>
      <c r="B15" s="14" t="s">
        <v>141</v>
      </c>
      <c r="C15" s="20" t="s">
        <v>47</v>
      </c>
      <c r="D15" s="15" t="s">
        <v>145</v>
      </c>
      <c r="E15" s="20" t="s">
        <v>169</v>
      </c>
      <c r="F15" s="20">
        <v>26</v>
      </c>
      <c r="G15" s="20">
        <v>16.64</v>
      </c>
      <c r="H15" s="12" t="str">
        <f t="shared" si="2"/>
        <v>请检查重量</v>
      </c>
      <c r="J15"/>
    </row>
    <row r="16" customHeight="1" spans="1:24">
      <c r="A16" s="22"/>
      <c r="B16" s="14" t="s">
        <v>147</v>
      </c>
      <c r="C16" s="20" t="s">
        <v>53</v>
      </c>
      <c r="D16" s="15" t="s">
        <v>142</v>
      </c>
      <c r="E16" s="20" t="s">
        <v>121</v>
      </c>
      <c r="F16" s="20">
        <v>39.3</v>
      </c>
      <c r="G16" s="20">
        <v>17.97</v>
      </c>
      <c r="H16" s="12" t="str">
        <f t="shared" si="2"/>
        <v>请检查重量</v>
      </c>
      <c r="J16"/>
    </row>
    <row r="17" customHeight="1" spans="1:10">
      <c r="A17" s="22"/>
      <c r="B17" s="14" t="s">
        <v>147</v>
      </c>
      <c r="C17" s="20" t="s">
        <v>53</v>
      </c>
      <c r="D17" s="15" t="s">
        <v>145</v>
      </c>
      <c r="E17" s="20" t="s">
        <v>121</v>
      </c>
      <c r="F17" s="20">
        <v>39.3</v>
      </c>
      <c r="G17" s="20">
        <v>17.97</v>
      </c>
      <c r="H17" s="12" t="str">
        <f t="shared" si="2"/>
        <v>请检查重量</v>
      </c>
      <c r="J17"/>
    </row>
    <row r="18" customHeight="1" spans="1:10">
      <c r="A18" s="22"/>
      <c r="B18" s="14" t="s">
        <v>150</v>
      </c>
      <c r="C18" s="20" t="s">
        <v>156</v>
      </c>
      <c r="D18" s="15" t="s">
        <v>142</v>
      </c>
      <c r="E18" s="20" t="s">
        <v>157</v>
      </c>
      <c r="F18" s="20">
        <v>16</v>
      </c>
      <c r="G18" s="20">
        <v>16.64</v>
      </c>
      <c r="H18" s="12" t="str">
        <f t="shared" si="2"/>
        <v>请检查重量</v>
      </c>
      <c r="J18"/>
    </row>
    <row r="19" customHeight="1" spans="1:10">
      <c r="A19" s="23"/>
      <c r="B19" s="14" t="s">
        <v>150</v>
      </c>
      <c r="C19" s="20" t="s">
        <v>156</v>
      </c>
      <c r="D19" s="15" t="s">
        <v>145</v>
      </c>
      <c r="E19" s="20" t="s">
        <v>157</v>
      </c>
      <c r="F19" s="20">
        <v>16</v>
      </c>
      <c r="G19" s="20">
        <v>16.64</v>
      </c>
      <c r="H19" s="12" t="str">
        <f t="shared" si="2"/>
        <v>请检查重量</v>
      </c>
      <c r="J19"/>
    </row>
    <row r="20" customHeight="1" spans="1:10">
      <c r="A20" s="24" t="s">
        <v>60</v>
      </c>
      <c r="B20" s="14" t="s">
        <v>141</v>
      </c>
      <c r="C20" s="20" t="s">
        <v>158</v>
      </c>
      <c r="D20" s="15" t="s">
        <v>142</v>
      </c>
      <c r="E20" s="20" t="s">
        <v>170</v>
      </c>
      <c r="F20" s="20">
        <v>17.68</v>
      </c>
      <c r="G20" s="20">
        <v>37.44</v>
      </c>
      <c r="H20" s="12" t="str">
        <f t="shared" ref="H20:H25" si="3">IF($Q$2&lt;=0,"请检查重量",IF($K$2&lt;1501,"货值小于渠道限制",IF($K$2&gt;7200,"货值超渠道限制",IF($Q$2&lt;2.001,"重量限制2001G",IF($Q$2&gt;30,"重量限制30KG",IF($W$5&gt;30,"体积重超30KG",IF($T$3="三边合计超长","三边合计超长",IF($W$2="单边超长","单边超长",ROUNDUP(F20*$W$5+G20,2)&amp;"元"))))))))</f>
        <v>请检查重量</v>
      </c>
    </row>
    <row r="21" customHeight="1" spans="1:10">
      <c r="A21" s="25"/>
      <c r="B21" s="14" t="s">
        <v>141</v>
      </c>
      <c r="C21" s="20" t="s">
        <v>158</v>
      </c>
      <c r="D21" s="15" t="s">
        <v>145</v>
      </c>
      <c r="E21" s="20" t="s">
        <v>170</v>
      </c>
      <c r="F21" s="20">
        <v>17.68</v>
      </c>
      <c r="G21" s="20">
        <v>37.44</v>
      </c>
      <c r="H21" s="12" t="str">
        <f t="shared" si="3"/>
        <v>请检查重量</v>
      </c>
    </row>
    <row r="22" customHeight="1" spans="1:10">
      <c r="A22" s="25"/>
      <c r="B22" s="14" t="s">
        <v>147</v>
      </c>
      <c r="C22" s="20" t="s">
        <v>72</v>
      </c>
      <c r="D22" s="15" t="s">
        <v>142</v>
      </c>
      <c r="E22" s="20" t="s">
        <v>124</v>
      </c>
      <c r="F22" s="20">
        <v>28.1</v>
      </c>
      <c r="G22" s="20">
        <v>40.44</v>
      </c>
      <c r="H22" s="12" t="str">
        <f t="shared" si="3"/>
        <v>请检查重量</v>
      </c>
    </row>
    <row r="23" customHeight="1" spans="1:10">
      <c r="A23" s="25"/>
      <c r="B23" s="14" t="s">
        <v>147</v>
      </c>
      <c r="C23" s="20" t="s">
        <v>72</v>
      </c>
      <c r="D23" s="15" t="s">
        <v>145</v>
      </c>
      <c r="E23" s="20" t="s">
        <v>124</v>
      </c>
      <c r="F23" s="20">
        <v>28.1</v>
      </c>
      <c r="G23" s="20">
        <v>40.44</v>
      </c>
      <c r="H23" s="12" t="str">
        <f t="shared" si="3"/>
        <v>请检查重量</v>
      </c>
    </row>
    <row r="24" customHeight="1" spans="1:10">
      <c r="A24" s="25"/>
      <c r="B24" s="14" t="s">
        <v>150</v>
      </c>
      <c r="C24" s="20" t="s">
        <v>159</v>
      </c>
      <c r="D24" s="15" t="s">
        <v>142</v>
      </c>
      <c r="E24" s="20" t="s">
        <v>160</v>
      </c>
      <c r="F24" s="20">
        <v>33</v>
      </c>
      <c r="G24" s="20">
        <v>37.44</v>
      </c>
      <c r="H24" s="12" t="str">
        <f t="shared" si="3"/>
        <v>请检查重量</v>
      </c>
    </row>
    <row r="25" customHeight="1" spans="1:10">
      <c r="A25" s="26"/>
      <c r="B25" s="14" t="s">
        <v>150</v>
      </c>
      <c r="C25" s="20" t="s">
        <v>159</v>
      </c>
      <c r="D25" s="15" t="s">
        <v>145</v>
      </c>
      <c r="E25" s="20" t="s">
        <v>160</v>
      </c>
      <c r="F25" s="20">
        <v>33</v>
      </c>
      <c r="G25" s="20">
        <v>37.44</v>
      </c>
      <c r="H25" s="12" t="str">
        <f t="shared" si="3"/>
        <v>请检查重量</v>
      </c>
    </row>
    <row r="26" customHeight="1" spans="1:10">
      <c r="A26" s="21" t="s">
        <v>161</v>
      </c>
      <c r="B26" s="14" t="s">
        <v>141</v>
      </c>
      <c r="C26" s="20" t="s">
        <v>77</v>
      </c>
      <c r="D26" s="15" t="s">
        <v>142</v>
      </c>
      <c r="E26" s="20" t="s">
        <v>171</v>
      </c>
      <c r="F26" s="20">
        <v>26</v>
      </c>
      <c r="G26" s="20">
        <v>22.88</v>
      </c>
      <c r="H26" s="12" t="str">
        <f>IF($Q$2&lt;=0,"请检查重量",IF($K$2&lt;7000,"货值小于渠道限制",IF($K$2&gt;18000,"货值超渠道限制",IF($Q$2&gt;5,"重量限制5KG",IF($T$3="三边合计超长","三边合计超长",IF($W$2="单边超长","单边超长",ROUNDUP(F26*$Q$2+G26,2)&amp;"元"))))))</f>
        <v>请检查重量</v>
      </c>
    </row>
    <row r="27" customHeight="1" spans="1:10">
      <c r="A27" s="22"/>
      <c r="B27" s="14" t="s">
        <v>141</v>
      </c>
      <c r="C27" s="20" t="s">
        <v>77</v>
      </c>
      <c r="D27" s="15" t="s">
        <v>145</v>
      </c>
      <c r="E27" s="20" t="s">
        <v>171</v>
      </c>
      <c r="F27" s="20">
        <v>26</v>
      </c>
      <c r="G27" s="20">
        <v>22.88</v>
      </c>
      <c r="H27" s="12" t="str">
        <f>IF($Q$2&lt;=0,"请检查重量",IF($K$2&lt;7000,"货值小于渠道限制",IF($K$2&gt;18000,"货值超渠道限制",IF($Q$2&gt;5,"重量限制5KG",IF($T$3="三边合计超长","三边合计超长",IF($W$2="单边超长","单边超长",ROUNDUP(F27*$Q$2+G27,2)&amp;"元"))))))</f>
        <v>请检查重量</v>
      </c>
    </row>
    <row r="28" customHeight="1" spans="1:10">
      <c r="A28" s="22"/>
      <c r="B28" s="14" t="s">
        <v>147</v>
      </c>
      <c r="C28" s="20" t="s">
        <v>83</v>
      </c>
      <c r="D28" s="15" t="s">
        <v>142</v>
      </c>
      <c r="E28" s="20" t="s">
        <v>127</v>
      </c>
      <c r="F28" s="20">
        <v>39.3</v>
      </c>
      <c r="G28" s="20">
        <v>24.71</v>
      </c>
      <c r="H28" s="12" t="str">
        <f>IF($Q$2&lt;=0,"请检查重量",IF($K$2&lt;7000,"货值小于渠道限制",IF($K$2&gt;18000,"货值超渠道限制",IF($Q$2&gt;5,"重量限制5KG",IF($T$3="三边合计超长","三边合计超长",IF($W$2="单边超长","单边超长",ROUNDUP(F28*$Q$2+G28,2)&amp;"元"))))))</f>
        <v>请检查重量</v>
      </c>
    </row>
    <row r="29" customHeight="1" spans="1:10">
      <c r="A29" s="22"/>
      <c r="B29" s="14" t="s">
        <v>147</v>
      </c>
      <c r="C29" s="20" t="s">
        <v>83</v>
      </c>
      <c r="D29" s="15" t="s">
        <v>145</v>
      </c>
      <c r="E29" s="20" t="s">
        <v>127</v>
      </c>
      <c r="F29" s="20">
        <v>39.3</v>
      </c>
      <c r="G29" s="20">
        <v>24.71</v>
      </c>
      <c r="H29" s="12" t="str">
        <f>IF($Q$2&lt;=0,"请检查重量",IF($K$2&lt;7000,"货值小于渠道限制",IF($K$2&gt;18000,"货值超渠道限制",IF($Q$2&gt;5,"重量限制5KG",IF($T$3="三边合计超长","三边合计超长",IF($W$2="单边超长","单边超长",ROUNDUP(F29*$Q$2+G29,2)&amp;"元"))))))</f>
        <v>请检查重量</v>
      </c>
    </row>
    <row r="30" customHeight="1" spans="1:10">
      <c r="A30" s="22"/>
      <c r="B30" s="14" t="s">
        <v>150</v>
      </c>
      <c r="C30" s="20" t="s">
        <v>162</v>
      </c>
      <c r="D30" s="15" t="s">
        <v>142</v>
      </c>
      <c r="E30" s="20" t="s">
        <v>163</v>
      </c>
      <c r="F30" s="20">
        <v>26</v>
      </c>
      <c r="G30" s="20">
        <v>22.88</v>
      </c>
      <c r="H30" s="12" t="str">
        <f>IF($Q$2&lt;=0,"请检查重量",IF($K$2&lt;7000,"货值小于渠道限制",IF($K$2&gt;250000,"货值超渠道限制",IF($Q$2&gt;5,"重量限制5KG",IF($T$3="三边合计超长","三边合计超长",IF($W$2="单边超长","单边超长",ROUNDUP(F30*$Q$2+G30,2)&amp;"元"))))))</f>
        <v>请检查重量</v>
      </c>
    </row>
    <row r="31" customHeight="1" spans="1:10">
      <c r="A31" s="23"/>
      <c r="B31" s="14" t="s">
        <v>150</v>
      </c>
      <c r="C31" s="20" t="s">
        <v>162</v>
      </c>
      <c r="D31" s="15" t="s">
        <v>145</v>
      </c>
      <c r="E31" s="20" t="s">
        <v>163</v>
      </c>
      <c r="F31" s="20">
        <v>26</v>
      </c>
      <c r="G31" s="20">
        <v>22.88</v>
      </c>
      <c r="H31" s="12" t="str">
        <f>IF($Q$2&lt;=0,"请检查重量",IF($K$2&lt;7000,"货值小于渠道限制",IF($K$2&gt;250000,"货值超渠道限制",IF($Q$2&gt;5,"重量限制5KG",IF($T$3="三边合计超长","三边合计超长",IF($W$2="单边超长","单边超长",ROUNDUP(F31*$Q$2+G31,2)&amp;"元"))))))</f>
        <v>请检查重量</v>
      </c>
    </row>
    <row r="32" customHeight="1" spans="1:10">
      <c r="A32" s="27" t="s">
        <v>86</v>
      </c>
      <c r="B32" s="14" t="s">
        <v>141</v>
      </c>
      <c r="C32" s="20" t="s">
        <v>164</v>
      </c>
      <c r="D32" s="15" t="s">
        <v>142</v>
      </c>
      <c r="E32" s="20" t="s">
        <v>172</v>
      </c>
      <c r="F32" s="20">
        <v>23.92</v>
      </c>
      <c r="G32" s="20">
        <v>64.48</v>
      </c>
      <c r="H32" s="12" t="str">
        <f>IF($Q$2&lt;=0,"请检查重量",IF($K$2&lt;7000,"货值小于渠道限制",IF($K$2&gt;18000,"货值超渠道限制",IF($Q$2&lt;5.001,"最低限制5001G",IF($Q$2&gt;30,"重量限制30KG",IF($W$5&gt;30,"体积重超30KG",IF($T$4="三边合计超长","三边合计超长",IF($W$2="单边超长","单边超长",ROUNDUP(F32*$W$5+G32,2)&amp;"元"))))))))</f>
        <v>请检查重量</v>
      </c>
    </row>
    <row r="33" customHeight="1" spans="1:8">
      <c r="A33" s="27"/>
      <c r="B33" s="14" t="s">
        <v>141</v>
      </c>
      <c r="C33" s="20" t="s">
        <v>164</v>
      </c>
      <c r="D33" s="15" t="s">
        <v>145</v>
      </c>
      <c r="E33" s="20" t="s">
        <v>172</v>
      </c>
      <c r="F33" s="20">
        <v>23.92</v>
      </c>
      <c r="G33" s="20">
        <v>64.48</v>
      </c>
      <c r="H33" s="12" t="str">
        <f>IF($Q$2&lt;=0,"请检查重量",IF($K$2&lt;7000,"货值小于渠道限制",IF($K$2&gt;18000,"货值超渠道限制",IF($Q$2&lt;5.001,"最低限制5001G",IF($Q$2&gt;30,"重量限制30KG",IF($W$5&gt;30,"体积重超30KG",IF($T$4="三边合计超长","三边合计超长",IF($W$2="单边超长","单边超长",ROUNDUP(F33*$W$5+G33,2)&amp;"元"))))))))</f>
        <v>请检查重量</v>
      </c>
    </row>
    <row r="34" customHeight="1" spans="1:8">
      <c r="A34" s="27"/>
      <c r="B34" s="14" t="s">
        <v>147</v>
      </c>
      <c r="C34" s="20" t="s">
        <v>91</v>
      </c>
      <c r="D34" s="15" t="s">
        <v>142</v>
      </c>
      <c r="E34" s="20" t="s">
        <v>131</v>
      </c>
      <c r="F34" s="20">
        <v>31.4</v>
      </c>
      <c r="G34" s="20">
        <v>69.64</v>
      </c>
      <c r="H34" s="12" t="str">
        <f>IF($Q$2&lt;=0,"请检查重量",IF($K$2&lt;7000,"货值小于渠道限制",IF($K$2&gt;18000,"货值超渠道限制",IF($Q$2&lt;5.001,"最低限制5001G",IF($Q$2&gt;30,"重量限制30KG",IF($W$5&gt;30,"体积重超30KG",IF($T$4="三边合计超长","三边合计超长",IF($W$2="单边超长","单边超长",ROUNDUP(F34*$W$5+G34,2)&amp;"元"))))))))</f>
        <v>请检查重量</v>
      </c>
    </row>
    <row r="35" customHeight="1" spans="1:8">
      <c r="A35" s="27"/>
      <c r="B35" s="14" t="s">
        <v>147</v>
      </c>
      <c r="C35" s="20" t="s">
        <v>91</v>
      </c>
      <c r="D35" s="15" t="s">
        <v>145</v>
      </c>
      <c r="E35" s="20" t="s">
        <v>131</v>
      </c>
      <c r="F35" s="20">
        <v>31.4</v>
      </c>
      <c r="G35" s="20">
        <v>69.64</v>
      </c>
      <c r="H35" s="12" t="str">
        <f>IF($Q$2&lt;=0,"请检查重量",IF($K$2&lt;7000,"货值小于渠道限制",IF($K$2&gt;18000,"货值超渠道限制",IF($Q$2&lt;5.001,"最低限制5001G",IF($Q$2&gt;30,"重量限制30KG",IF($W$5&gt;30,"体积重超30KG",IF($T$4="三边合计超长","三边合计超长",IF($W$2="单边超长","单边超长",ROUNDUP(F35*$W$5+G35,2)&amp;"元"))))))))</f>
        <v>请检查重量</v>
      </c>
    </row>
    <row r="36" customHeight="1" spans="1:8">
      <c r="A36" s="27"/>
      <c r="B36" s="14" t="s">
        <v>150</v>
      </c>
      <c r="C36" s="20" t="s">
        <v>165</v>
      </c>
      <c r="D36" s="15" t="s">
        <v>142</v>
      </c>
      <c r="E36" s="20" t="s">
        <v>166</v>
      </c>
      <c r="F36" s="20">
        <v>33</v>
      </c>
      <c r="G36" s="20">
        <v>64.48</v>
      </c>
      <c r="H36" s="12" t="str">
        <f>IF($Q$2&lt;=0,"请检查重量",IF($K$2&lt;7000,"货值小于渠道限制",IF($K$2&gt;250000,"货值超渠道限制",IF($Q$2&lt;5.001,"最低限制5001G",IF($Q$2&gt;30,"重量限制30KG",IF($W$5&gt;30,"体积重超30KG",IF($T$4="三边合计超长","三边合计超长",IF($W$2="单边超长","单边超长",ROUNDUP(F36*$W$5+G36,2)&amp;"元"))))))))</f>
        <v>请检查重量</v>
      </c>
    </row>
    <row r="37" customHeight="1" spans="1:8">
      <c r="A37" s="27"/>
      <c r="B37" s="14" t="s">
        <v>150</v>
      </c>
      <c r="C37" s="20" t="s">
        <v>165</v>
      </c>
      <c r="D37" s="15" t="s">
        <v>145</v>
      </c>
      <c r="E37" s="20" t="s">
        <v>166</v>
      </c>
      <c r="F37" s="20">
        <v>33</v>
      </c>
      <c r="G37" s="20">
        <v>64.48</v>
      </c>
      <c r="H37" s="12" t="str">
        <f>IF($Q$2&lt;=0,"请检查重量",IF($K$2&lt;7000,"货值小于渠道限制",IF($K$2&gt;250000,"货值超渠道限制",IF($Q$2&lt;5.001,"最低限制5001G",IF($Q$2&gt;30,"重量限制30KG",IF($W$5&gt;30,"体积重超30KG",IF($T$4="三边合计超长","三边合计超长",IF($W$2="单边超长","单边超长",ROUNDUP(F37*$W$5+G37,2)&amp;"元"))))))))</f>
        <v>请检查重量</v>
      </c>
    </row>
  </sheetData>
  <protectedRanges>
    <protectedRange sqref="J2:N2" name="区域1"/>
  </protectedRanges>
  <mergeCells count="7">
    <mergeCell ref="L1:N1"/>
    <mergeCell ref="A2:A7"/>
    <mergeCell ref="A8:A13"/>
    <mergeCell ref="A14:A19"/>
    <mergeCell ref="A20:A25"/>
    <mergeCell ref="A26:A31"/>
    <mergeCell ref="A32:A37"/>
  </mergeCells>
  <conditionalFormatting sqref="C1:H1">
    <cfRule type="containsText" dxfId="1" priority="1" operator="between" text="元">
      <formula>NOT(ISERROR(SEARCH("元",C1)))</formula>
    </cfRule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</rangeList>
  <rangeList sheetStid="6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兴远渠道计算</vt:lpstr>
      <vt:lpstr>兴远吉尔吉斯渠道计算</vt:lpstr>
      <vt:lpstr>俄罗斯公式</vt:lpstr>
      <vt:lpstr>吉尔吉斯公式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独独懒</dc:creator>
  <cp:lastModifiedBy>环易达电子商贸</cp:lastModifiedBy>
  <dcterms:created xsi:type="dcterms:W3CDTF">2024-08-19T14:30:00Z</dcterms:created>
  <dcterms:modified xsi:type="dcterms:W3CDTF">2026-08-03T13:02:19Z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3B80FA76B524471C8680EF30EA01EDF2_13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